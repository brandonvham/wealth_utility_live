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issosprivatewealth-my.sharepoint.com/personal/brandon_perissosprivatewealth_com/Documents/1 Perissos Private Wealth Management/5 Python/01_Active_Strategies/Wealth Utility API/"/>
    </mc:Choice>
  </mc:AlternateContent>
  <xr:revisionPtr revIDLastSave="585" documentId="13_ncr:1_{A317B0E7-1C5D-450E-A529-DF31A54AA737}" xr6:coauthVersionLast="47" xr6:coauthVersionMax="47" xr10:uidLastSave="{A348269F-7370-4258-894B-78847219CA50}"/>
  <bookViews>
    <workbookView xWindow="28695" yWindow="15840" windowWidth="29010" windowHeight="15945" activeTab="1" xr2:uid="{7D23DFD4-FCD3-40E1-B8A0-B864FE11F7D6}"/>
  </bookViews>
  <sheets>
    <sheet name="ecy" sheetId="2" r:id="rId1"/>
    <sheet name="cap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 a="1"/>
  <c r="C2" i="3" a="1"/>
  <c r="J2" i="3" a="1"/>
  <c r="C2" i="2" a="1"/>
  <c r="I2" i="3" a="1"/>
  <c r="E2" i="2" a="1"/>
  <c r="B2" i="2" a="1"/>
  <c r="A2" i="2" a="1"/>
  <c r="A2" i="3" a="1"/>
  <c r="F2" i="3" a="1"/>
  <c r="D17" i="3" l="1"/>
  <c r="D33" i="3"/>
  <c r="D49" i="3"/>
  <c r="D65" i="3"/>
  <c r="D81" i="3"/>
  <c r="D97" i="3"/>
  <c r="D113" i="3"/>
  <c r="D129" i="3"/>
  <c r="D145" i="3"/>
  <c r="D161" i="3"/>
  <c r="E161" i="3" s="1"/>
  <c r="D177" i="3"/>
  <c r="D193" i="3"/>
  <c r="E193" i="3" s="1"/>
  <c r="D209" i="3"/>
  <c r="D225" i="3"/>
  <c r="E225" i="3" s="1"/>
  <c r="D241" i="3"/>
  <c r="D257" i="3"/>
  <c r="E257" i="3" s="1"/>
  <c r="D273" i="3"/>
  <c r="D289" i="3"/>
  <c r="D305" i="3"/>
  <c r="D321" i="3"/>
  <c r="D337" i="3"/>
  <c r="D353" i="3"/>
  <c r="D369" i="3"/>
  <c r="D385" i="3"/>
  <c r="D401" i="3"/>
  <c r="D417" i="3"/>
  <c r="E417" i="3" s="1"/>
  <c r="D433" i="3"/>
  <c r="E433" i="3" s="1"/>
  <c r="D449" i="3"/>
  <c r="E449" i="3" s="1"/>
  <c r="D465" i="3"/>
  <c r="D481" i="3"/>
  <c r="E481" i="3" s="1"/>
  <c r="D497" i="3"/>
  <c r="D513" i="3"/>
  <c r="E513" i="3" s="1"/>
  <c r="D529" i="3"/>
  <c r="D545" i="3"/>
  <c r="D561" i="3"/>
  <c r="D577" i="3"/>
  <c r="D593" i="3"/>
  <c r="D609" i="3"/>
  <c r="D625" i="3"/>
  <c r="D641" i="3"/>
  <c r="D657" i="3"/>
  <c r="D673" i="3"/>
  <c r="E673" i="3" s="1"/>
  <c r="D2" i="3"/>
  <c r="D18" i="3"/>
  <c r="E18" i="3" s="1"/>
  <c r="D34" i="3"/>
  <c r="D50" i="3"/>
  <c r="E50" i="3" s="1"/>
  <c r="D66" i="3"/>
  <c r="D82" i="3"/>
  <c r="E82" i="3" s="1"/>
  <c r="D98" i="3"/>
  <c r="D114" i="3"/>
  <c r="D130" i="3"/>
  <c r="D146" i="3"/>
  <c r="D162" i="3"/>
  <c r="D178" i="3"/>
  <c r="D194" i="3"/>
  <c r="D210" i="3"/>
  <c r="D226" i="3"/>
  <c r="E226" i="3" s="1"/>
  <c r="D242" i="3"/>
  <c r="E242" i="3" s="1"/>
  <c r="D258" i="3"/>
  <c r="D274" i="3"/>
  <c r="E274" i="3" s="1"/>
  <c r="D290" i="3"/>
  <c r="D306" i="3"/>
  <c r="E306" i="3" s="1"/>
  <c r="D322" i="3"/>
  <c r="D338" i="3"/>
  <c r="E338" i="3" s="1"/>
  <c r="D354" i="3"/>
  <c r="D370" i="3"/>
  <c r="D386" i="3"/>
  <c r="D402" i="3"/>
  <c r="D418" i="3"/>
  <c r="D434" i="3"/>
  <c r="D450" i="3"/>
  <c r="D466" i="3"/>
  <c r="D482" i="3"/>
  <c r="E482" i="3" s="1"/>
  <c r="D498" i="3"/>
  <c r="E498" i="3" s="1"/>
  <c r="D514" i="3"/>
  <c r="D530" i="3"/>
  <c r="E530" i="3" s="1"/>
  <c r="D546" i="3"/>
  <c r="D562" i="3"/>
  <c r="E562" i="3" s="1"/>
  <c r="D578" i="3"/>
  <c r="D594" i="3"/>
  <c r="E594" i="3" s="1"/>
  <c r="D610" i="3"/>
  <c r="D626" i="3"/>
  <c r="D642" i="3"/>
  <c r="D658" i="3"/>
  <c r="D3" i="3"/>
  <c r="D21" i="3"/>
  <c r="D39" i="3"/>
  <c r="D57" i="3"/>
  <c r="D75" i="3"/>
  <c r="E75" i="3" s="1"/>
  <c r="D93" i="3"/>
  <c r="E93" i="3" s="1"/>
  <c r="D111" i="3"/>
  <c r="E111" i="3" s="1"/>
  <c r="D131" i="3"/>
  <c r="E131" i="3" s="1"/>
  <c r="D149" i="3"/>
  <c r="E149" i="3" s="1"/>
  <c r="D167" i="3"/>
  <c r="E167" i="3" s="1"/>
  <c r="D185" i="3"/>
  <c r="D203" i="3"/>
  <c r="E203" i="3" s="1"/>
  <c r="D221" i="3"/>
  <c r="D239" i="3"/>
  <c r="D259" i="3"/>
  <c r="D277" i="3"/>
  <c r="D295" i="3"/>
  <c r="D313" i="3"/>
  <c r="D331" i="3"/>
  <c r="D349" i="3"/>
  <c r="D367" i="3"/>
  <c r="D387" i="3"/>
  <c r="E387" i="3" s="1"/>
  <c r="D405" i="3"/>
  <c r="D423" i="3"/>
  <c r="E423" i="3" s="1"/>
  <c r="D441" i="3"/>
  <c r="D459" i="3"/>
  <c r="E459" i="3" s="1"/>
  <c r="D477" i="3"/>
  <c r="D495" i="3"/>
  <c r="E495" i="3" s="1"/>
  <c r="D515" i="3"/>
  <c r="D533" i="3"/>
  <c r="D551" i="3"/>
  <c r="D569" i="3"/>
  <c r="D587" i="3"/>
  <c r="D605" i="3"/>
  <c r="D623" i="3"/>
  <c r="D643" i="3"/>
  <c r="D661" i="3"/>
  <c r="E661" i="3" s="1"/>
  <c r="D678" i="3"/>
  <c r="E678" i="3" s="1"/>
  <c r="D4" i="3"/>
  <c r="D22" i="3"/>
  <c r="E22" i="3" s="1"/>
  <c r="D40" i="3"/>
  <c r="D58" i="3"/>
  <c r="E58" i="3" s="1"/>
  <c r="D76" i="3"/>
  <c r="D94" i="3"/>
  <c r="E94" i="3" s="1"/>
  <c r="D112" i="3"/>
  <c r="D132" i="3"/>
  <c r="D150" i="3"/>
  <c r="D168" i="3"/>
  <c r="D186" i="3"/>
  <c r="D204" i="3"/>
  <c r="D222" i="3"/>
  <c r="D240" i="3"/>
  <c r="D260" i="3"/>
  <c r="E260" i="3" s="1"/>
  <c r="D278" i="3"/>
  <c r="E278" i="3" s="1"/>
  <c r="D296" i="3"/>
  <c r="E296" i="3" s="1"/>
  <c r="D314" i="3"/>
  <c r="D332" i="3"/>
  <c r="D350" i="3"/>
  <c r="E350" i="3" s="1"/>
  <c r="D368" i="3"/>
  <c r="D388" i="3"/>
  <c r="E388" i="3" s="1"/>
  <c r="D406" i="3"/>
  <c r="D424" i="3"/>
  <c r="D442" i="3"/>
  <c r="D460" i="3"/>
  <c r="D478" i="3"/>
  <c r="D496" i="3"/>
  <c r="D516" i="3"/>
  <c r="D534" i="3"/>
  <c r="D552" i="3"/>
  <c r="E552" i="3" s="1"/>
  <c r="D570" i="3"/>
  <c r="D588" i="3"/>
  <c r="D606" i="3"/>
  <c r="D624" i="3"/>
  <c r="D644" i="3"/>
  <c r="E644" i="3" s="1"/>
  <c r="D662" i="3"/>
  <c r="D679" i="3"/>
  <c r="E679" i="3" s="1"/>
  <c r="D206" i="3"/>
  <c r="D352" i="3"/>
  <c r="D408" i="3"/>
  <c r="D444" i="3"/>
  <c r="D480" i="3"/>
  <c r="D518" i="3"/>
  <c r="D554" i="3"/>
  <c r="D590" i="3"/>
  <c r="D628" i="3"/>
  <c r="D664" i="3"/>
  <c r="E664" i="3" s="1"/>
  <c r="D681" i="3"/>
  <c r="E681" i="3" s="1"/>
  <c r="D139" i="3"/>
  <c r="E139" i="3" s="1"/>
  <c r="D487" i="3"/>
  <c r="D68" i="3"/>
  <c r="E68" i="3" s="1"/>
  <c r="D196" i="3"/>
  <c r="D304" i="3"/>
  <c r="E304" i="3" s="1"/>
  <c r="D414" i="3"/>
  <c r="D488" i="3"/>
  <c r="D580" i="3"/>
  <c r="D670" i="3"/>
  <c r="E670" i="3" s="1"/>
  <c r="D51" i="3"/>
  <c r="D197" i="3"/>
  <c r="D307" i="3"/>
  <c r="D415" i="3"/>
  <c r="D507" i="3"/>
  <c r="D635" i="3"/>
  <c r="E635" i="3" s="1"/>
  <c r="D14" i="3"/>
  <c r="D216" i="3"/>
  <c r="E216" i="3" s="1"/>
  <c r="D86" i="3"/>
  <c r="D489" i="3"/>
  <c r="E489" i="3" s="1"/>
  <c r="D617" i="3"/>
  <c r="D32" i="3"/>
  <c r="E32" i="3" s="1"/>
  <c r="D180" i="3"/>
  <c r="D270" i="3"/>
  <c r="D5" i="3"/>
  <c r="D23" i="3"/>
  <c r="D41" i="3"/>
  <c r="D59" i="3"/>
  <c r="D77" i="3"/>
  <c r="D95" i="3"/>
  <c r="D115" i="3"/>
  <c r="E115" i="3" s="1"/>
  <c r="D133" i="3"/>
  <c r="E133" i="3" s="1"/>
  <c r="D151" i="3"/>
  <c r="D169" i="3"/>
  <c r="E169" i="3" s="1"/>
  <c r="D187" i="3"/>
  <c r="D205" i="3"/>
  <c r="E205" i="3" s="1"/>
  <c r="D223" i="3"/>
  <c r="D243" i="3"/>
  <c r="E243" i="3" s="1"/>
  <c r="D261" i="3"/>
  <c r="D279" i="3"/>
  <c r="D297" i="3"/>
  <c r="D315" i="3"/>
  <c r="D333" i="3"/>
  <c r="D351" i="3"/>
  <c r="D371" i="3"/>
  <c r="D389" i="3"/>
  <c r="D407" i="3"/>
  <c r="D425" i="3"/>
  <c r="E425" i="3" s="1"/>
  <c r="D443" i="3"/>
  <c r="D461" i="3"/>
  <c r="E461" i="3" s="1"/>
  <c r="D479" i="3"/>
  <c r="D499" i="3"/>
  <c r="E499" i="3" s="1"/>
  <c r="D517" i="3"/>
  <c r="D535" i="3"/>
  <c r="E535" i="3" s="1"/>
  <c r="D553" i="3"/>
  <c r="D571" i="3"/>
  <c r="D589" i="3"/>
  <c r="D607" i="3"/>
  <c r="D627" i="3"/>
  <c r="D645" i="3"/>
  <c r="D663" i="3"/>
  <c r="D680" i="3"/>
  <c r="E680" i="3" s="1"/>
  <c r="D6" i="3"/>
  <c r="E6" i="3" s="1"/>
  <c r="D24" i="3"/>
  <c r="E24" i="3" s="1"/>
  <c r="D42" i="3"/>
  <c r="E42" i="3" s="1"/>
  <c r="D60" i="3"/>
  <c r="E60" i="3" s="1"/>
  <c r="D78" i="3"/>
  <c r="D96" i="3"/>
  <c r="E96" i="3" s="1"/>
  <c r="D116" i="3"/>
  <c r="D134" i="3"/>
  <c r="E134" i="3" s="1"/>
  <c r="D152" i="3"/>
  <c r="D170" i="3"/>
  <c r="D188" i="3"/>
  <c r="D224" i="3"/>
  <c r="D244" i="3"/>
  <c r="D262" i="3"/>
  <c r="D280" i="3"/>
  <c r="D298" i="3"/>
  <c r="D316" i="3"/>
  <c r="E316" i="3" s="1"/>
  <c r="D334" i="3"/>
  <c r="D372" i="3"/>
  <c r="D390" i="3"/>
  <c r="E390" i="3" s="1"/>
  <c r="D426" i="3"/>
  <c r="D462" i="3"/>
  <c r="E462" i="3" s="1"/>
  <c r="D500" i="3"/>
  <c r="E500" i="3" s="1"/>
  <c r="D536" i="3"/>
  <c r="E536" i="3" s="1"/>
  <c r="D572" i="3"/>
  <c r="D608" i="3"/>
  <c r="D646" i="3"/>
  <c r="D121" i="3"/>
  <c r="D505" i="3"/>
  <c r="D122" i="3"/>
  <c r="D378" i="3"/>
  <c r="D560" i="3"/>
  <c r="D87" i="3"/>
  <c r="D325" i="3"/>
  <c r="E325" i="3" s="1"/>
  <c r="D525" i="3"/>
  <c r="D124" i="3"/>
  <c r="E124" i="3" s="1"/>
  <c r="D7" i="3"/>
  <c r="D25" i="3"/>
  <c r="E25" i="3" s="1"/>
  <c r="D43" i="3"/>
  <c r="D61" i="3"/>
  <c r="E61" i="3" s="1"/>
  <c r="D79" i="3"/>
  <c r="D99" i="3"/>
  <c r="D117" i="3"/>
  <c r="D135" i="3"/>
  <c r="D153" i="3"/>
  <c r="D171" i="3"/>
  <c r="D189" i="3"/>
  <c r="D207" i="3"/>
  <c r="D227" i="3"/>
  <c r="E227" i="3" s="1"/>
  <c r="D245" i="3"/>
  <c r="E245" i="3" s="1"/>
  <c r="D263" i="3"/>
  <c r="D281" i="3"/>
  <c r="E281" i="3" s="1"/>
  <c r="D299" i="3"/>
  <c r="D317" i="3"/>
  <c r="E317" i="3" s="1"/>
  <c r="D335" i="3"/>
  <c r="D355" i="3"/>
  <c r="E355" i="3" s="1"/>
  <c r="D373" i="3"/>
  <c r="D391" i="3"/>
  <c r="D409" i="3"/>
  <c r="D427" i="3"/>
  <c r="D445" i="3"/>
  <c r="D463" i="3"/>
  <c r="D483" i="3"/>
  <c r="D501" i="3"/>
  <c r="D519" i="3"/>
  <c r="E519" i="3" s="1"/>
  <c r="D537" i="3"/>
  <c r="E537" i="3" s="1"/>
  <c r="D555" i="3"/>
  <c r="D573" i="3"/>
  <c r="D591" i="3"/>
  <c r="D611" i="3"/>
  <c r="E611" i="3" s="1"/>
  <c r="D629" i="3"/>
  <c r="D647" i="3"/>
  <c r="E647" i="3" s="1"/>
  <c r="D665" i="3"/>
  <c r="D119" i="3"/>
  <c r="D265" i="3"/>
  <c r="D319" i="3"/>
  <c r="D375" i="3"/>
  <c r="D411" i="3"/>
  <c r="D485" i="3"/>
  <c r="D521" i="3"/>
  <c r="D539" i="3"/>
  <c r="D595" i="3"/>
  <c r="E595" i="3" s="1"/>
  <c r="D631" i="3"/>
  <c r="D667" i="3"/>
  <c r="E667" i="3" s="1"/>
  <c r="D320" i="3"/>
  <c r="D394" i="3"/>
  <c r="D430" i="3"/>
  <c r="E430" i="3" s="1"/>
  <c r="D468" i="3"/>
  <c r="E468" i="3" s="1"/>
  <c r="D540" i="3"/>
  <c r="D576" i="3"/>
  <c r="D632" i="3"/>
  <c r="D668" i="3"/>
  <c r="D29" i="3"/>
  <c r="D85" i="3"/>
  <c r="D157" i="3"/>
  <c r="D213" i="3"/>
  <c r="D267" i="3"/>
  <c r="E267" i="3" s="1"/>
  <c r="D323" i="3"/>
  <c r="E323" i="3" s="1"/>
  <c r="D377" i="3"/>
  <c r="D431" i="3"/>
  <c r="E431" i="3" s="1"/>
  <c r="D541" i="3"/>
  <c r="D597" i="3"/>
  <c r="E597" i="3" s="1"/>
  <c r="D651" i="3"/>
  <c r="D48" i="3"/>
  <c r="E48" i="3" s="1"/>
  <c r="D140" i="3"/>
  <c r="D214" i="3"/>
  <c r="D268" i="3"/>
  <c r="D342" i="3"/>
  <c r="D452" i="3"/>
  <c r="D524" i="3"/>
  <c r="D634" i="3"/>
  <c r="D31" i="3"/>
  <c r="D123" i="3"/>
  <c r="E123" i="3" s="1"/>
  <c r="D159" i="3"/>
  <c r="E159" i="3" s="1"/>
  <c r="D233" i="3"/>
  <c r="D287" i="3"/>
  <c r="E287" i="3" s="1"/>
  <c r="D379" i="3"/>
  <c r="D453" i="3"/>
  <c r="E453" i="3" s="1"/>
  <c r="D599" i="3"/>
  <c r="D52" i="3"/>
  <c r="E52" i="3" s="1"/>
  <c r="D142" i="3"/>
  <c r="D8" i="3"/>
  <c r="D26" i="3"/>
  <c r="D44" i="3"/>
  <c r="D62" i="3"/>
  <c r="D80" i="3"/>
  <c r="D100" i="3"/>
  <c r="D118" i="3"/>
  <c r="D136" i="3"/>
  <c r="E136" i="3" s="1"/>
  <c r="D154" i="3"/>
  <c r="E154" i="3" s="1"/>
  <c r="D172" i="3"/>
  <c r="D190" i="3"/>
  <c r="E190" i="3" s="1"/>
  <c r="D208" i="3"/>
  <c r="E208" i="3" s="1"/>
  <c r="D228" i="3"/>
  <c r="E228" i="3" s="1"/>
  <c r="D246" i="3"/>
  <c r="D264" i="3"/>
  <c r="E264" i="3" s="1"/>
  <c r="D282" i="3"/>
  <c r="D300" i="3"/>
  <c r="D318" i="3"/>
  <c r="D336" i="3"/>
  <c r="D356" i="3"/>
  <c r="D374" i="3"/>
  <c r="D392" i="3"/>
  <c r="D410" i="3"/>
  <c r="D428" i="3"/>
  <c r="E428" i="3" s="1"/>
  <c r="D446" i="3"/>
  <c r="E446" i="3" s="1"/>
  <c r="D464" i="3"/>
  <c r="D484" i="3"/>
  <c r="E484" i="3" s="1"/>
  <c r="D502" i="3"/>
  <c r="D520" i="3"/>
  <c r="E520" i="3" s="1"/>
  <c r="D538" i="3"/>
  <c r="E538" i="3" s="1"/>
  <c r="D556" i="3"/>
  <c r="E556" i="3" s="1"/>
  <c r="D574" i="3"/>
  <c r="D592" i="3"/>
  <c r="D612" i="3"/>
  <c r="D630" i="3"/>
  <c r="D648" i="3"/>
  <c r="D666" i="3"/>
  <c r="D101" i="3"/>
  <c r="D283" i="3"/>
  <c r="D339" i="3"/>
  <c r="E339" i="3" s="1"/>
  <c r="D393" i="3"/>
  <c r="E393" i="3" s="1"/>
  <c r="D429" i="3"/>
  <c r="E429" i="3" s="1"/>
  <c r="D467" i="3"/>
  <c r="E467" i="3" s="1"/>
  <c r="D503" i="3"/>
  <c r="D557" i="3"/>
  <c r="E557" i="3" s="1"/>
  <c r="D613" i="3"/>
  <c r="D649" i="3"/>
  <c r="E649" i="3" s="1"/>
  <c r="D284" i="3"/>
  <c r="D376" i="3"/>
  <c r="D448" i="3"/>
  <c r="D486" i="3"/>
  <c r="D558" i="3"/>
  <c r="D614" i="3"/>
  <c r="D11" i="3"/>
  <c r="D103" i="3"/>
  <c r="E103" i="3" s="1"/>
  <c r="D195" i="3"/>
  <c r="E195" i="3" s="1"/>
  <c r="D249" i="3"/>
  <c r="E249" i="3" s="1"/>
  <c r="D303" i="3"/>
  <c r="E303" i="3" s="1"/>
  <c r="D359" i="3"/>
  <c r="D451" i="3"/>
  <c r="D523" i="3"/>
  <c r="E523" i="3" s="1"/>
  <c r="D579" i="3"/>
  <c r="D633" i="3"/>
  <c r="E633" i="3" s="1"/>
  <c r="D30" i="3"/>
  <c r="D158" i="3"/>
  <c r="D232" i="3"/>
  <c r="D286" i="3"/>
  <c r="D360" i="3"/>
  <c r="D470" i="3"/>
  <c r="D506" i="3"/>
  <c r="D598" i="3"/>
  <c r="D13" i="3"/>
  <c r="E13" i="3" s="1"/>
  <c r="D141" i="3"/>
  <c r="E141" i="3" s="1"/>
  <c r="D215" i="3"/>
  <c r="D269" i="3"/>
  <c r="E269" i="3" s="1"/>
  <c r="D397" i="3"/>
  <c r="D471" i="3"/>
  <c r="E471" i="3" s="1"/>
  <c r="D581" i="3"/>
  <c r="D671" i="3"/>
  <c r="E671" i="3" s="1"/>
  <c r="D70" i="3"/>
  <c r="D160" i="3"/>
  <c r="D252" i="3"/>
  <c r="D9" i="3"/>
  <c r="D27" i="3"/>
  <c r="D45" i="3"/>
  <c r="D63" i="3"/>
  <c r="D83" i="3"/>
  <c r="D137" i="3"/>
  <c r="E137" i="3" s="1"/>
  <c r="D155" i="3"/>
  <c r="E155" i="3" s="1"/>
  <c r="D173" i="3"/>
  <c r="E173" i="3" s="1"/>
  <c r="D191" i="3"/>
  <c r="E191" i="3" s="1"/>
  <c r="D211" i="3"/>
  <c r="D229" i="3"/>
  <c r="E229" i="3" s="1"/>
  <c r="D247" i="3"/>
  <c r="D301" i="3"/>
  <c r="E301" i="3" s="1"/>
  <c r="D357" i="3"/>
  <c r="D447" i="3"/>
  <c r="D575" i="3"/>
  <c r="D358" i="3"/>
  <c r="D504" i="3"/>
  <c r="D596" i="3"/>
  <c r="D650" i="3"/>
  <c r="D47" i="3"/>
  <c r="D175" i="3"/>
  <c r="E175" i="3" s="1"/>
  <c r="D231" i="3"/>
  <c r="D285" i="3"/>
  <c r="D341" i="3"/>
  <c r="E341" i="3" s="1"/>
  <c r="D395" i="3"/>
  <c r="D469" i="3"/>
  <c r="D559" i="3"/>
  <c r="D615" i="3"/>
  <c r="E615" i="3" s="1"/>
  <c r="D669" i="3"/>
  <c r="D12" i="3"/>
  <c r="D176" i="3"/>
  <c r="D250" i="3"/>
  <c r="D324" i="3"/>
  <c r="D432" i="3"/>
  <c r="D542" i="3"/>
  <c r="D652" i="3"/>
  <c r="D69" i="3"/>
  <c r="D179" i="3"/>
  <c r="E179" i="3" s="1"/>
  <c r="D251" i="3"/>
  <c r="D361" i="3"/>
  <c r="E361" i="3" s="1"/>
  <c r="D435" i="3"/>
  <c r="D563" i="3"/>
  <c r="E563" i="3" s="1"/>
  <c r="D653" i="3"/>
  <c r="D88" i="3"/>
  <c r="E88" i="3" s="1"/>
  <c r="D198" i="3"/>
  <c r="D288" i="3"/>
  <c r="D10" i="3"/>
  <c r="D28" i="3"/>
  <c r="D46" i="3"/>
  <c r="D64" i="3"/>
  <c r="D84" i="3"/>
  <c r="D102" i="3"/>
  <c r="D120" i="3"/>
  <c r="E120" i="3" s="1"/>
  <c r="D138" i="3"/>
  <c r="E138" i="3" s="1"/>
  <c r="D156" i="3"/>
  <c r="D174" i="3"/>
  <c r="E174" i="3" s="1"/>
  <c r="D192" i="3"/>
  <c r="D212" i="3"/>
  <c r="E212" i="3" s="1"/>
  <c r="D230" i="3"/>
  <c r="D248" i="3"/>
  <c r="E248" i="3" s="1"/>
  <c r="D266" i="3"/>
  <c r="D302" i="3"/>
  <c r="D340" i="3"/>
  <c r="D412" i="3"/>
  <c r="D522" i="3"/>
  <c r="D67" i="3"/>
  <c r="D413" i="3"/>
  <c r="D104" i="3"/>
  <c r="D396" i="3"/>
  <c r="E396" i="3" s="1"/>
  <c r="D616" i="3"/>
  <c r="E616" i="3" s="1"/>
  <c r="D105" i="3"/>
  <c r="D343" i="3"/>
  <c r="E343" i="3" s="1"/>
  <c r="D543" i="3"/>
  <c r="D106" i="3"/>
  <c r="E106" i="3" s="1"/>
  <c r="D15" i="3"/>
  <c r="D35" i="3"/>
  <c r="E35" i="3" s="1"/>
  <c r="D53" i="3"/>
  <c r="D71" i="3"/>
  <c r="D89" i="3"/>
  <c r="D107" i="3"/>
  <c r="D125" i="3"/>
  <c r="D143" i="3"/>
  <c r="D163" i="3"/>
  <c r="D181" i="3"/>
  <c r="E181" i="3" s="1"/>
  <c r="D199" i="3"/>
  <c r="E199" i="3" s="1"/>
  <c r="D217" i="3"/>
  <c r="E217" i="3" s="1"/>
  <c r="D16" i="3"/>
  <c r="D36" i="3"/>
  <c r="E36" i="3" s="1"/>
  <c r="D54" i="3"/>
  <c r="D72" i="3"/>
  <c r="E72" i="3" s="1"/>
  <c r="D90" i="3"/>
  <c r="D108" i="3"/>
  <c r="E108" i="3" s="1"/>
  <c r="D126" i="3"/>
  <c r="D144" i="3"/>
  <c r="D164" i="3"/>
  <c r="D182" i="3"/>
  <c r="D200" i="3"/>
  <c r="D218" i="3"/>
  <c r="D37" i="3"/>
  <c r="D183" i="3"/>
  <c r="D272" i="3"/>
  <c r="E272" i="3" s="1"/>
  <c r="D330" i="3"/>
  <c r="D398" i="3"/>
  <c r="D455" i="3"/>
  <c r="E455" i="3" s="1"/>
  <c r="D510" i="3"/>
  <c r="D567" i="3"/>
  <c r="E567" i="3" s="1"/>
  <c r="D622" i="3"/>
  <c r="D38" i="3"/>
  <c r="E38" i="3" s="1"/>
  <c r="D184" i="3"/>
  <c r="D275" i="3"/>
  <c r="D344" i="3"/>
  <c r="D399" i="3"/>
  <c r="D456" i="3"/>
  <c r="D511" i="3"/>
  <c r="D568" i="3"/>
  <c r="D636" i="3"/>
  <c r="D345" i="3"/>
  <c r="E345" i="3" s="1"/>
  <c r="D457" i="3"/>
  <c r="E457" i="3" s="1"/>
  <c r="D512" i="3"/>
  <c r="E512" i="3" s="1"/>
  <c r="D637" i="3"/>
  <c r="D202" i="3"/>
  <c r="D291" i="3"/>
  <c r="E291" i="3" s="1"/>
  <c r="D403" i="3"/>
  <c r="D526" i="3"/>
  <c r="E526" i="3" s="1"/>
  <c r="D638" i="3"/>
  <c r="D73" i="3"/>
  <c r="D292" i="3"/>
  <c r="D404" i="3"/>
  <c r="D527" i="3"/>
  <c r="D639" i="3"/>
  <c r="D220" i="3"/>
  <c r="D348" i="3"/>
  <c r="D528" i="3"/>
  <c r="D91" i="3"/>
  <c r="E91" i="3" s="1"/>
  <c r="D362" i="3"/>
  <c r="D531" i="3"/>
  <c r="E531" i="3" s="1"/>
  <c r="D235" i="3"/>
  <c r="D363" i="3"/>
  <c r="E363" i="3" s="1"/>
  <c r="D600" i="3"/>
  <c r="D109" i="3"/>
  <c r="E109" i="3" s="1"/>
  <c r="D364" i="3"/>
  <c r="D601" i="3"/>
  <c r="D310" i="3"/>
  <c r="D422" i="3"/>
  <c r="D659" i="3"/>
  <c r="D238" i="3"/>
  <c r="D660" i="3"/>
  <c r="D380" i="3"/>
  <c r="D549" i="3"/>
  <c r="E549" i="3" s="1"/>
  <c r="D381" i="3"/>
  <c r="E381" i="3" s="1"/>
  <c r="D618" i="3"/>
  <c r="E618" i="3" s="1"/>
  <c r="D327" i="3"/>
  <c r="E327" i="3" s="1"/>
  <c r="D256" i="3"/>
  <c r="E256" i="3" s="1"/>
  <c r="D676" i="3"/>
  <c r="E676" i="3" s="1"/>
  <c r="D329" i="3"/>
  <c r="E329" i="3" s="1"/>
  <c r="D509" i="3"/>
  <c r="E509" i="3" s="1"/>
  <c r="D55" i="3"/>
  <c r="D201" i="3"/>
  <c r="D276" i="3"/>
  <c r="D400" i="3"/>
  <c r="D582" i="3"/>
  <c r="D346" i="3"/>
  <c r="D583" i="3"/>
  <c r="D219" i="3"/>
  <c r="D347" i="3"/>
  <c r="E347" i="3" s="1"/>
  <c r="D472" i="3"/>
  <c r="E472" i="3" s="1"/>
  <c r="D584" i="3"/>
  <c r="D293" i="3"/>
  <c r="E293" i="3" s="1"/>
  <c r="D416" i="3"/>
  <c r="D585" i="3"/>
  <c r="E585" i="3" s="1"/>
  <c r="D234" i="3"/>
  <c r="D419" i="3"/>
  <c r="E419" i="3" s="1"/>
  <c r="D586" i="3"/>
  <c r="D308" i="3"/>
  <c r="D475" i="3"/>
  <c r="D236" i="3"/>
  <c r="D476" i="3"/>
  <c r="D237" i="3"/>
  <c r="D490" i="3"/>
  <c r="D311" i="3"/>
  <c r="E311" i="3" s="1"/>
  <c r="D548" i="3"/>
  <c r="E548" i="3" s="1"/>
  <c r="D312" i="3"/>
  <c r="E312" i="3" s="1"/>
  <c r="D492" i="3"/>
  <c r="E492" i="3" s="1"/>
  <c r="D254" i="3"/>
  <c r="E254" i="3" s="1"/>
  <c r="D550" i="3"/>
  <c r="D439" i="3"/>
  <c r="E439" i="3" s="1"/>
  <c r="D619" i="3"/>
  <c r="E619" i="3" s="1"/>
  <c r="D165" i="3"/>
  <c r="E165" i="3" s="1"/>
  <c r="D565" i="3"/>
  <c r="D384" i="3"/>
  <c r="D677" i="3"/>
  <c r="E677" i="3" s="1"/>
  <c r="D56" i="3"/>
  <c r="D458" i="3"/>
  <c r="D74" i="3"/>
  <c r="D473" i="3"/>
  <c r="D640" i="3"/>
  <c r="D294" i="3"/>
  <c r="E294" i="3" s="1"/>
  <c r="D474" i="3"/>
  <c r="E474" i="3" s="1"/>
  <c r="D654" i="3"/>
  <c r="E654" i="3" s="1"/>
  <c r="D92" i="3"/>
  <c r="E92" i="3" s="1"/>
  <c r="D420" i="3"/>
  <c r="D655" i="3"/>
  <c r="E655" i="3" s="1"/>
  <c r="D309" i="3"/>
  <c r="D544" i="3"/>
  <c r="E544" i="3" s="1"/>
  <c r="D110" i="3"/>
  <c r="D602" i="3"/>
  <c r="D366" i="3"/>
  <c r="D603" i="3"/>
  <c r="D253" i="3"/>
  <c r="D672" i="3"/>
  <c r="E672" i="3" s="1"/>
  <c r="D438" i="3"/>
  <c r="D148" i="3"/>
  <c r="D564" i="3"/>
  <c r="E564" i="3" s="1"/>
  <c r="D328" i="3"/>
  <c r="E328" i="3" s="1"/>
  <c r="D508" i="3"/>
  <c r="D166" i="3"/>
  <c r="E166" i="3" s="1"/>
  <c r="D621" i="3"/>
  <c r="D532" i="3"/>
  <c r="E532" i="3" s="1"/>
  <c r="D421" i="3"/>
  <c r="D656" i="3"/>
  <c r="E656" i="3" s="1"/>
  <c r="D365" i="3"/>
  <c r="D547" i="3"/>
  <c r="D127" i="3"/>
  <c r="D491" i="3"/>
  <c r="D128" i="3"/>
  <c r="D437" i="3"/>
  <c r="D147" i="3"/>
  <c r="D493" i="3"/>
  <c r="D255" i="3"/>
  <c r="D494" i="3"/>
  <c r="E494" i="3" s="1"/>
  <c r="D19" i="3"/>
  <c r="D440" i="3"/>
  <c r="E440" i="3" s="1"/>
  <c r="D20" i="3"/>
  <c r="E20" i="3" s="1"/>
  <c r="D454" i="3"/>
  <c r="E454" i="3" s="1"/>
  <c r="D436" i="3"/>
  <c r="D604" i="3"/>
  <c r="E604" i="3" s="1"/>
  <c r="D326" i="3"/>
  <c r="D674" i="3"/>
  <c r="E674" i="3" s="1"/>
  <c r="D382" i="3"/>
  <c r="D675" i="3"/>
  <c r="E675" i="3" s="1"/>
  <c r="D383" i="3"/>
  <c r="D620" i="3"/>
  <c r="D271" i="3"/>
  <c r="D566" i="3"/>
  <c r="C8" i="3"/>
  <c r="C24" i="3"/>
  <c r="C40" i="3"/>
  <c r="C56" i="3"/>
  <c r="C72" i="3"/>
  <c r="C88" i="3"/>
  <c r="C104" i="3"/>
  <c r="C120" i="3"/>
  <c r="C136" i="3"/>
  <c r="C152" i="3"/>
  <c r="C168" i="3"/>
  <c r="C184" i="3"/>
  <c r="C200" i="3"/>
  <c r="C216" i="3"/>
  <c r="C232" i="3"/>
  <c r="C248" i="3"/>
  <c r="C264" i="3"/>
  <c r="C280" i="3"/>
  <c r="C296" i="3"/>
  <c r="C312" i="3"/>
  <c r="C328" i="3"/>
  <c r="C344" i="3"/>
  <c r="C360" i="3"/>
  <c r="C376" i="3"/>
  <c r="C392" i="3"/>
  <c r="C408" i="3"/>
  <c r="C424" i="3"/>
  <c r="C440" i="3"/>
  <c r="C456" i="3"/>
  <c r="C472" i="3"/>
  <c r="C488" i="3"/>
  <c r="C504" i="3"/>
  <c r="C520" i="3"/>
  <c r="C536" i="3"/>
  <c r="C552" i="3"/>
  <c r="C568" i="3"/>
  <c r="C584" i="3"/>
  <c r="C600" i="3"/>
  <c r="C616" i="3"/>
  <c r="C632" i="3"/>
  <c r="C648" i="3"/>
  <c r="C664" i="3"/>
  <c r="C680" i="3"/>
  <c r="C9" i="3"/>
  <c r="C25" i="3"/>
  <c r="C41" i="3"/>
  <c r="C57" i="3"/>
  <c r="C73" i="3"/>
  <c r="C89" i="3"/>
  <c r="C105" i="3"/>
  <c r="C121" i="3"/>
  <c r="C137" i="3"/>
  <c r="C153" i="3"/>
  <c r="C169" i="3"/>
  <c r="C185" i="3"/>
  <c r="C201" i="3"/>
  <c r="C217" i="3"/>
  <c r="C233" i="3"/>
  <c r="C249" i="3"/>
  <c r="C265" i="3"/>
  <c r="C281" i="3"/>
  <c r="C297" i="3"/>
  <c r="C313" i="3"/>
  <c r="C329" i="3"/>
  <c r="C345" i="3"/>
  <c r="C361" i="3"/>
  <c r="C377" i="3"/>
  <c r="C393" i="3"/>
  <c r="C409" i="3"/>
  <c r="C425" i="3"/>
  <c r="C441" i="3"/>
  <c r="C457" i="3"/>
  <c r="C473" i="3"/>
  <c r="C489" i="3"/>
  <c r="C505" i="3"/>
  <c r="C521" i="3"/>
  <c r="C537" i="3"/>
  <c r="C553" i="3"/>
  <c r="C569" i="3"/>
  <c r="C585" i="3"/>
  <c r="C601" i="3"/>
  <c r="C617" i="3"/>
  <c r="C633" i="3"/>
  <c r="C649" i="3"/>
  <c r="C665" i="3"/>
  <c r="C10" i="3"/>
  <c r="C26" i="3"/>
  <c r="C42" i="3"/>
  <c r="C58" i="3"/>
  <c r="C74" i="3"/>
  <c r="C90" i="3"/>
  <c r="C106" i="3"/>
  <c r="C122" i="3"/>
  <c r="C138" i="3"/>
  <c r="C154" i="3"/>
  <c r="C170" i="3"/>
  <c r="C186" i="3"/>
  <c r="C202" i="3"/>
  <c r="C218" i="3"/>
  <c r="C234" i="3"/>
  <c r="C250" i="3"/>
  <c r="C266" i="3"/>
  <c r="C282" i="3"/>
  <c r="C298" i="3"/>
  <c r="C314" i="3"/>
  <c r="C330" i="3"/>
  <c r="C346" i="3"/>
  <c r="C362" i="3"/>
  <c r="C378" i="3"/>
  <c r="C394" i="3"/>
  <c r="C410" i="3"/>
  <c r="C426" i="3"/>
  <c r="C442" i="3"/>
  <c r="C458" i="3"/>
  <c r="C474" i="3"/>
  <c r="C490" i="3"/>
  <c r="C506" i="3"/>
  <c r="C522" i="3"/>
  <c r="C538" i="3"/>
  <c r="C554" i="3"/>
  <c r="C570" i="3"/>
  <c r="C586" i="3"/>
  <c r="C602" i="3"/>
  <c r="C618" i="3"/>
  <c r="C634" i="3"/>
  <c r="C650" i="3"/>
  <c r="C666" i="3"/>
  <c r="C11" i="3"/>
  <c r="C27" i="3"/>
  <c r="C43" i="3"/>
  <c r="C59" i="3"/>
  <c r="C75" i="3"/>
  <c r="C91" i="3"/>
  <c r="C107" i="3"/>
  <c r="C123" i="3"/>
  <c r="C139" i="3"/>
  <c r="C155" i="3"/>
  <c r="C171" i="3"/>
  <c r="C187" i="3"/>
  <c r="C203" i="3"/>
  <c r="C219" i="3"/>
  <c r="C235" i="3"/>
  <c r="C251" i="3"/>
  <c r="C267" i="3"/>
  <c r="C283" i="3"/>
  <c r="C299" i="3"/>
  <c r="C315" i="3"/>
  <c r="C331" i="3"/>
  <c r="C347" i="3"/>
  <c r="C363" i="3"/>
  <c r="C379" i="3"/>
  <c r="C395" i="3"/>
  <c r="C411" i="3"/>
  <c r="C427" i="3"/>
  <c r="C443" i="3"/>
  <c r="C459" i="3"/>
  <c r="C475" i="3"/>
  <c r="C491" i="3"/>
  <c r="C507" i="3"/>
  <c r="C523" i="3"/>
  <c r="C539" i="3"/>
  <c r="C555" i="3"/>
  <c r="C571" i="3"/>
  <c r="C587" i="3"/>
  <c r="C603" i="3"/>
  <c r="C619" i="3"/>
  <c r="C635" i="3"/>
  <c r="C651" i="3"/>
  <c r="C667" i="3"/>
  <c r="C12" i="3"/>
  <c r="C28" i="3"/>
  <c r="C44" i="3"/>
  <c r="C60" i="3"/>
  <c r="C76" i="3"/>
  <c r="C92" i="3"/>
  <c r="C108" i="3"/>
  <c r="C124" i="3"/>
  <c r="C140" i="3"/>
  <c r="C156" i="3"/>
  <c r="C172" i="3"/>
  <c r="C188" i="3"/>
  <c r="C204" i="3"/>
  <c r="C220" i="3"/>
  <c r="C236" i="3"/>
  <c r="C252" i="3"/>
  <c r="C268" i="3"/>
  <c r="C284" i="3"/>
  <c r="C300" i="3"/>
  <c r="C316" i="3"/>
  <c r="C332" i="3"/>
  <c r="C348" i="3"/>
  <c r="C364" i="3"/>
  <c r="C380" i="3"/>
  <c r="C396" i="3"/>
  <c r="C412" i="3"/>
  <c r="C428" i="3"/>
  <c r="C444" i="3"/>
  <c r="C460" i="3"/>
  <c r="C476" i="3"/>
  <c r="C492" i="3"/>
  <c r="C508" i="3"/>
  <c r="C524" i="3"/>
  <c r="C540" i="3"/>
  <c r="C556" i="3"/>
  <c r="C572" i="3"/>
  <c r="C588" i="3"/>
  <c r="C604" i="3"/>
  <c r="C620" i="3"/>
  <c r="C636" i="3"/>
  <c r="C652" i="3"/>
  <c r="C668" i="3"/>
  <c r="C13" i="3"/>
  <c r="C29" i="3"/>
  <c r="C45" i="3"/>
  <c r="C61" i="3"/>
  <c r="C77" i="3"/>
  <c r="C93" i="3"/>
  <c r="C109" i="3"/>
  <c r="C125" i="3"/>
  <c r="C141" i="3"/>
  <c r="C157" i="3"/>
  <c r="C173" i="3"/>
  <c r="C189" i="3"/>
  <c r="C205" i="3"/>
  <c r="C221" i="3"/>
  <c r="C237" i="3"/>
  <c r="C253" i="3"/>
  <c r="C269" i="3"/>
  <c r="C285" i="3"/>
  <c r="C301" i="3"/>
  <c r="C317" i="3"/>
  <c r="C333" i="3"/>
  <c r="C349" i="3"/>
  <c r="C365" i="3"/>
  <c r="C381" i="3"/>
  <c r="C397" i="3"/>
  <c r="C413" i="3"/>
  <c r="C429" i="3"/>
  <c r="C445" i="3"/>
  <c r="C461" i="3"/>
  <c r="C477" i="3"/>
  <c r="C493" i="3"/>
  <c r="C509" i="3"/>
  <c r="C525" i="3"/>
  <c r="C541" i="3"/>
  <c r="C557" i="3"/>
  <c r="C573" i="3"/>
  <c r="C589" i="3"/>
  <c r="C605" i="3"/>
  <c r="C621" i="3"/>
  <c r="C637" i="3"/>
  <c r="C653" i="3"/>
  <c r="C14" i="3"/>
  <c r="C30" i="3"/>
  <c r="C46" i="3"/>
  <c r="C62" i="3"/>
  <c r="C78" i="3"/>
  <c r="C94" i="3"/>
  <c r="C110" i="3"/>
  <c r="C126" i="3"/>
  <c r="C142" i="3"/>
  <c r="C158" i="3"/>
  <c r="C174" i="3"/>
  <c r="C190" i="3"/>
  <c r="C206" i="3"/>
  <c r="C222" i="3"/>
  <c r="C238" i="3"/>
  <c r="C254" i="3"/>
  <c r="C270" i="3"/>
  <c r="C286" i="3"/>
  <c r="C302" i="3"/>
  <c r="C318" i="3"/>
  <c r="C334" i="3"/>
  <c r="C350" i="3"/>
  <c r="C366" i="3"/>
  <c r="C382" i="3"/>
  <c r="C398" i="3"/>
  <c r="C414" i="3"/>
  <c r="C430" i="3"/>
  <c r="C446" i="3"/>
  <c r="C462" i="3"/>
  <c r="C478" i="3"/>
  <c r="C494" i="3"/>
  <c r="C510" i="3"/>
  <c r="C526" i="3"/>
  <c r="C542" i="3"/>
  <c r="C558" i="3"/>
  <c r="C15" i="3"/>
  <c r="C31" i="3"/>
  <c r="C47" i="3"/>
  <c r="C63" i="3"/>
  <c r="C79" i="3"/>
  <c r="C95" i="3"/>
  <c r="C111" i="3"/>
  <c r="C127" i="3"/>
  <c r="C143" i="3"/>
  <c r="C159" i="3"/>
  <c r="C175" i="3"/>
  <c r="C191" i="3"/>
  <c r="C207" i="3"/>
  <c r="C223" i="3"/>
  <c r="C239" i="3"/>
  <c r="C255" i="3"/>
  <c r="C271" i="3"/>
  <c r="C287" i="3"/>
  <c r="C303" i="3"/>
  <c r="C319" i="3"/>
  <c r="C335" i="3"/>
  <c r="C351" i="3"/>
  <c r="C367" i="3"/>
  <c r="C383" i="3"/>
  <c r="C399" i="3"/>
  <c r="C415" i="3"/>
  <c r="C431" i="3"/>
  <c r="C447" i="3"/>
  <c r="C463" i="3"/>
  <c r="C479" i="3"/>
  <c r="C495" i="3"/>
  <c r="C511" i="3"/>
  <c r="C527" i="3"/>
  <c r="C543" i="3"/>
  <c r="C19" i="3"/>
  <c r="C51" i="3"/>
  <c r="C83" i="3"/>
  <c r="C115" i="3"/>
  <c r="C147" i="3"/>
  <c r="C179" i="3"/>
  <c r="C211" i="3"/>
  <c r="C243" i="3"/>
  <c r="C275" i="3"/>
  <c r="C307" i="3"/>
  <c r="C339" i="3"/>
  <c r="C371" i="3"/>
  <c r="C403" i="3"/>
  <c r="C435" i="3"/>
  <c r="C467" i="3"/>
  <c r="C499" i="3"/>
  <c r="C531" i="3"/>
  <c r="C562" i="3"/>
  <c r="C590" i="3"/>
  <c r="C612" i="3"/>
  <c r="C640" i="3"/>
  <c r="C662" i="3"/>
  <c r="C309" i="3"/>
  <c r="C437" i="3"/>
  <c r="C501" i="3"/>
  <c r="C564" i="3"/>
  <c r="C642" i="3"/>
  <c r="C54" i="3"/>
  <c r="C246" i="3"/>
  <c r="C342" i="3"/>
  <c r="C406" i="3"/>
  <c r="C502" i="3"/>
  <c r="C565" i="3"/>
  <c r="C670" i="3"/>
  <c r="C119" i="3"/>
  <c r="C247" i="3"/>
  <c r="C343" i="3"/>
  <c r="C471" i="3"/>
  <c r="C535" i="3"/>
  <c r="C671" i="3"/>
  <c r="C128" i="3"/>
  <c r="C256" i="3"/>
  <c r="C416" i="3"/>
  <c r="C544" i="3"/>
  <c r="C645" i="3"/>
  <c r="C65" i="3"/>
  <c r="C225" i="3"/>
  <c r="C417" i="3"/>
  <c r="C574" i="3"/>
  <c r="C2" i="3"/>
  <c r="C290" i="3"/>
  <c r="C514" i="3"/>
  <c r="C674" i="3"/>
  <c r="G674" i="3" s="1"/>
  <c r="C3" i="3"/>
  <c r="C163" i="3"/>
  <c r="C323" i="3"/>
  <c r="C515" i="3"/>
  <c r="C626" i="3"/>
  <c r="C20" i="3"/>
  <c r="C52" i="3"/>
  <c r="C84" i="3"/>
  <c r="C116" i="3"/>
  <c r="C148" i="3"/>
  <c r="C180" i="3"/>
  <c r="C212" i="3"/>
  <c r="C244" i="3"/>
  <c r="C276" i="3"/>
  <c r="C308" i="3"/>
  <c r="C340" i="3"/>
  <c r="C372" i="3"/>
  <c r="C404" i="3"/>
  <c r="C436" i="3"/>
  <c r="C468" i="3"/>
  <c r="C500" i="3"/>
  <c r="C532" i="3"/>
  <c r="C563" i="3"/>
  <c r="C591" i="3"/>
  <c r="C613" i="3"/>
  <c r="C641" i="3"/>
  <c r="C663" i="3"/>
  <c r="C277" i="3"/>
  <c r="C405" i="3"/>
  <c r="C533" i="3"/>
  <c r="C614" i="3"/>
  <c r="C669" i="3"/>
  <c r="C86" i="3"/>
  <c r="C214" i="3"/>
  <c r="C310" i="3"/>
  <c r="C374" i="3"/>
  <c r="C534" i="3"/>
  <c r="C593" i="3"/>
  <c r="C643" i="3"/>
  <c r="C87" i="3"/>
  <c r="C183" i="3"/>
  <c r="C311" i="3"/>
  <c r="C439" i="3"/>
  <c r="C566" i="3"/>
  <c r="C644" i="3"/>
  <c r="C96" i="3"/>
  <c r="C224" i="3"/>
  <c r="C384" i="3"/>
  <c r="C512" i="3"/>
  <c r="C672" i="3"/>
  <c r="G672" i="3" s="1"/>
  <c r="C97" i="3"/>
  <c r="C257" i="3"/>
  <c r="C385" i="3"/>
  <c r="C545" i="3"/>
  <c r="C673" i="3"/>
  <c r="C98" i="3"/>
  <c r="C450" i="3"/>
  <c r="C647" i="3"/>
  <c r="C67" i="3"/>
  <c r="C227" i="3"/>
  <c r="C355" i="3"/>
  <c r="C547" i="3"/>
  <c r="C654" i="3"/>
  <c r="C21" i="3"/>
  <c r="C53" i="3"/>
  <c r="C85" i="3"/>
  <c r="C117" i="3"/>
  <c r="C149" i="3"/>
  <c r="C181" i="3"/>
  <c r="C213" i="3"/>
  <c r="C245" i="3"/>
  <c r="C341" i="3"/>
  <c r="C373" i="3"/>
  <c r="C469" i="3"/>
  <c r="C592" i="3"/>
  <c r="C150" i="3"/>
  <c r="C438" i="3"/>
  <c r="C615" i="3"/>
  <c r="C215" i="3"/>
  <c r="C407" i="3"/>
  <c r="C594" i="3"/>
  <c r="C160" i="3"/>
  <c r="C352" i="3"/>
  <c r="C480" i="3"/>
  <c r="C623" i="3"/>
  <c r="C129" i="3"/>
  <c r="C289" i="3"/>
  <c r="C481" i="3"/>
  <c r="C624" i="3"/>
  <c r="C66" i="3"/>
  <c r="C354" i="3"/>
  <c r="C625" i="3"/>
  <c r="C35" i="3"/>
  <c r="C259" i="3"/>
  <c r="C483" i="3"/>
  <c r="C22" i="3"/>
  <c r="C118" i="3"/>
  <c r="C182" i="3"/>
  <c r="C278" i="3"/>
  <c r="C470" i="3"/>
  <c r="C23" i="3"/>
  <c r="C375" i="3"/>
  <c r="C622" i="3"/>
  <c r="C288" i="3"/>
  <c r="C595" i="3"/>
  <c r="C161" i="3"/>
  <c r="C449" i="3"/>
  <c r="C194" i="3"/>
  <c r="C322" i="3"/>
  <c r="C546" i="3"/>
  <c r="C195" i="3"/>
  <c r="C419" i="3"/>
  <c r="C598" i="3"/>
  <c r="C4" i="3"/>
  <c r="C55" i="3"/>
  <c r="C151" i="3"/>
  <c r="C279" i="3"/>
  <c r="C503" i="3"/>
  <c r="C32" i="3"/>
  <c r="C320" i="3"/>
  <c r="C567" i="3"/>
  <c r="C33" i="3"/>
  <c r="C193" i="3"/>
  <c r="C321" i="3"/>
  <c r="C513" i="3"/>
  <c r="C646" i="3"/>
  <c r="C162" i="3"/>
  <c r="C258" i="3"/>
  <c r="C418" i="3"/>
  <c r="C575" i="3"/>
  <c r="C99" i="3"/>
  <c r="C387" i="3"/>
  <c r="C675" i="3"/>
  <c r="C132" i="3"/>
  <c r="C64" i="3"/>
  <c r="C192" i="3"/>
  <c r="C448" i="3"/>
  <c r="C353" i="3"/>
  <c r="C596" i="3"/>
  <c r="C130" i="3"/>
  <c r="C386" i="3"/>
  <c r="C597" i="3"/>
  <c r="C291" i="3"/>
  <c r="C576" i="3"/>
  <c r="C36" i="3"/>
  <c r="C68" i="3"/>
  <c r="C34" i="3"/>
  <c r="C226" i="3"/>
  <c r="C482" i="3"/>
  <c r="C131" i="3"/>
  <c r="C451" i="3"/>
  <c r="C5" i="3"/>
  <c r="C37" i="3"/>
  <c r="C69" i="3"/>
  <c r="C101" i="3"/>
  <c r="C133" i="3"/>
  <c r="C165" i="3"/>
  <c r="C197" i="3"/>
  <c r="C229" i="3"/>
  <c r="C261" i="3"/>
  <c r="C293" i="3"/>
  <c r="C325" i="3"/>
  <c r="C357" i="3"/>
  <c r="C389" i="3"/>
  <c r="C421" i="3"/>
  <c r="C453" i="3"/>
  <c r="C80" i="3"/>
  <c r="C167" i="3"/>
  <c r="C260" i="3"/>
  <c r="C337" i="3"/>
  <c r="C423" i="3"/>
  <c r="C498" i="3"/>
  <c r="C578" i="3"/>
  <c r="C630" i="3"/>
  <c r="C177" i="3"/>
  <c r="C356" i="3"/>
  <c r="C580" i="3"/>
  <c r="C100" i="3"/>
  <c r="C358" i="3"/>
  <c r="C518" i="3"/>
  <c r="C639" i="3"/>
  <c r="C6" i="3"/>
  <c r="C196" i="3"/>
  <c r="C452" i="3"/>
  <c r="C582" i="3"/>
  <c r="C103" i="3"/>
  <c r="C454" i="3"/>
  <c r="C656" i="3"/>
  <c r="C112" i="3"/>
  <c r="C455" i="3"/>
  <c r="C657" i="3"/>
  <c r="C370" i="3"/>
  <c r="C658" i="3"/>
  <c r="C114" i="3"/>
  <c r="C548" i="3"/>
  <c r="C210" i="3"/>
  <c r="C660" i="3"/>
  <c r="C305" i="3"/>
  <c r="C609" i="3"/>
  <c r="C401" i="3"/>
  <c r="C326" i="3"/>
  <c r="C420" i="3"/>
  <c r="C336" i="3"/>
  <c r="C81" i="3"/>
  <c r="C176" i="3"/>
  <c r="C262" i="3"/>
  <c r="C338" i="3"/>
  <c r="C432" i="3"/>
  <c r="C516" i="3"/>
  <c r="C579" i="3"/>
  <c r="C631" i="3"/>
  <c r="C82" i="3"/>
  <c r="C263" i="3"/>
  <c r="C433" i="3"/>
  <c r="C638" i="3"/>
  <c r="C272" i="3"/>
  <c r="C434" i="3"/>
  <c r="C581" i="3"/>
  <c r="C102" i="3"/>
  <c r="C273" i="3"/>
  <c r="C519" i="3"/>
  <c r="C274" i="3"/>
  <c r="C528" i="3"/>
  <c r="C16" i="3"/>
  <c r="C292" i="3"/>
  <c r="C529" i="3"/>
  <c r="C17" i="3"/>
  <c r="C464" i="3"/>
  <c r="C18" i="3"/>
  <c r="C388" i="3"/>
  <c r="C134" i="3"/>
  <c r="C549" i="3"/>
  <c r="C228" i="3"/>
  <c r="C400" i="3"/>
  <c r="C559" i="3"/>
  <c r="C146" i="3"/>
  <c r="C627" i="3"/>
  <c r="C241" i="3"/>
  <c r="C628" i="3"/>
  <c r="C577" i="3"/>
  <c r="C517" i="3"/>
  <c r="C359" i="3"/>
  <c r="C655" i="3"/>
  <c r="C7" i="3"/>
  <c r="C368" i="3"/>
  <c r="C199" i="3"/>
  <c r="C599" i="3"/>
  <c r="C208" i="3"/>
  <c r="C530" i="3"/>
  <c r="C209" i="3"/>
  <c r="C659" i="3"/>
  <c r="C38" i="3"/>
  <c r="C390" i="3"/>
  <c r="C484" i="3"/>
  <c r="C48" i="3"/>
  <c r="C306" i="3"/>
  <c r="C676" i="3"/>
  <c r="G676" i="3" s="1"/>
  <c r="C486" i="3"/>
  <c r="C560" i="3"/>
  <c r="C70" i="3"/>
  <c r="C497" i="3"/>
  <c r="C178" i="3"/>
  <c r="C198" i="3"/>
  <c r="C583" i="3"/>
  <c r="C369" i="3"/>
  <c r="C294" i="3"/>
  <c r="C606" i="3"/>
  <c r="C295" i="3"/>
  <c r="C607" i="3"/>
  <c r="C304" i="3"/>
  <c r="C608" i="3"/>
  <c r="C391" i="3"/>
  <c r="C485" i="3"/>
  <c r="C49" i="3"/>
  <c r="C677" i="3"/>
  <c r="C50" i="3"/>
  <c r="C487" i="3"/>
  <c r="C496" i="3"/>
  <c r="C166" i="3"/>
  <c r="C629" i="3"/>
  <c r="C113" i="3"/>
  <c r="C465" i="3"/>
  <c r="C466" i="3"/>
  <c r="C135" i="3"/>
  <c r="C550" i="3"/>
  <c r="C230" i="3"/>
  <c r="C610" i="3"/>
  <c r="C324" i="3"/>
  <c r="C402" i="3"/>
  <c r="C327" i="3"/>
  <c r="C422" i="3"/>
  <c r="C39" i="3"/>
  <c r="C661" i="3"/>
  <c r="C551" i="3"/>
  <c r="C679" i="3"/>
  <c r="C71" i="3"/>
  <c r="C144" i="3"/>
  <c r="C231" i="3"/>
  <c r="C611" i="3"/>
  <c r="C678" i="3"/>
  <c r="G678" i="3" s="1"/>
  <c r="C164" i="3"/>
  <c r="C145" i="3"/>
  <c r="C240" i="3"/>
  <c r="C561" i="3"/>
  <c r="C242" i="3"/>
  <c r="E369" i="3"/>
  <c r="E437" i="3"/>
  <c r="E23" i="3"/>
  <c r="E375" i="3"/>
  <c r="E11" i="3"/>
  <c r="E250" i="3"/>
  <c r="E490" i="3"/>
  <c r="E300" i="3"/>
  <c r="E110" i="3"/>
  <c r="E268" i="3"/>
  <c r="E270" i="3"/>
  <c r="E383" i="3"/>
  <c r="E458" i="3"/>
  <c r="E571" i="3"/>
  <c r="E485" i="3"/>
  <c r="E501" i="3"/>
  <c r="E135" i="3"/>
  <c r="E424" i="3"/>
  <c r="E456" i="3"/>
  <c r="E70" i="3"/>
  <c r="E150" i="3"/>
  <c r="E326" i="3"/>
  <c r="E358" i="3"/>
  <c r="E422" i="3"/>
  <c r="E582" i="3"/>
  <c r="E614" i="3"/>
  <c r="E503" i="3"/>
  <c r="E152" i="3"/>
  <c r="E344" i="3"/>
  <c r="E113" i="3"/>
  <c r="E668" i="3"/>
  <c r="E95" i="3"/>
  <c r="E224" i="3"/>
  <c r="E121" i="3"/>
  <c r="E289" i="3"/>
  <c r="E34" i="3"/>
  <c r="E122" i="3"/>
  <c r="E290" i="3"/>
  <c r="E99" i="3"/>
  <c r="E271" i="3"/>
  <c r="E400" i="3"/>
  <c r="E233" i="3"/>
  <c r="E426" i="3"/>
  <c r="E554" i="3"/>
  <c r="E447" i="3"/>
  <c r="E639" i="3"/>
  <c r="E114" i="3"/>
  <c r="E222" i="3"/>
  <c r="E586" i="3"/>
  <c r="E435" i="3"/>
  <c r="E479" i="3"/>
  <c r="E244" i="3"/>
  <c r="E332" i="3"/>
  <c r="E313" i="3"/>
  <c r="E441" i="3"/>
  <c r="E354" i="3"/>
  <c r="E507" i="3"/>
  <c r="E380" i="3"/>
  <c r="E464" i="3"/>
  <c r="E592" i="3"/>
  <c r="E529" i="3"/>
  <c r="E107" i="3"/>
  <c r="E147" i="3"/>
  <c r="E575" i="3"/>
  <c r="E3" i="3"/>
  <c r="E448" i="3"/>
  <c r="E579" i="3"/>
  <c r="E194" i="3"/>
  <c r="E47" i="3"/>
  <c r="E624" i="3"/>
  <c r="E516" i="3"/>
  <c r="E660" i="3"/>
  <c r="E666" i="3"/>
  <c r="E259" i="3"/>
  <c r="E46" i="3"/>
  <c r="E340" i="3"/>
  <c r="E218" i="3"/>
  <c r="E365" i="3"/>
  <c r="E560" i="3"/>
  <c r="E475" i="3"/>
  <c r="E153" i="3"/>
  <c r="J17" i="3"/>
  <c r="J33" i="3"/>
  <c r="J49" i="3"/>
  <c r="J65" i="3"/>
  <c r="J81" i="3"/>
  <c r="J97" i="3"/>
  <c r="J113" i="3"/>
  <c r="J129" i="3"/>
  <c r="J145" i="3"/>
  <c r="J161" i="3"/>
  <c r="J177" i="3"/>
  <c r="J193" i="3"/>
  <c r="J209" i="3"/>
  <c r="J225" i="3"/>
  <c r="J241" i="3"/>
  <c r="J257" i="3"/>
  <c r="J273" i="3"/>
  <c r="J289" i="3"/>
  <c r="J305" i="3"/>
  <c r="J321" i="3"/>
  <c r="J337" i="3"/>
  <c r="J353" i="3"/>
  <c r="J369" i="3"/>
  <c r="J385" i="3"/>
  <c r="J401" i="3"/>
  <c r="J417" i="3"/>
  <c r="J433" i="3"/>
  <c r="J449" i="3"/>
  <c r="J465" i="3"/>
  <c r="J481" i="3"/>
  <c r="J497" i="3"/>
  <c r="J513" i="3"/>
  <c r="J529" i="3"/>
  <c r="J545" i="3"/>
  <c r="J561" i="3"/>
  <c r="J577" i="3"/>
  <c r="J593" i="3"/>
  <c r="J609" i="3"/>
  <c r="J625" i="3"/>
  <c r="J641" i="3"/>
  <c r="J657" i="3"/>
  <c r="J673" i="3"/>
  <c r="J199" i="3"/>
  <c r="J407" i="3"/>
  <c r="J551" i="3"/>
  <c r="J647" i="3"/>
  <c r="J424" i="3"/>
  <c r="J568" i="3"/>
  <c r="J74" i="3"/>
  <c r="J218" i="3"/>
  <c r="J378" i="3"/>
  <c r="J538" i="3"/>
  <c r="J91" i="3"/>
  <c r="J155" i="3"/>
  <c r="J219" i="3"/>
  <c r="J299" i="3"/>
  <c r="J379" i="3"/>
  <c r="J459" i="3"/>
  <c r="J603" i="3"/>
  <c r="J28" i="3"/>
  <c r="J156" i="3"/>
  <c r="J268" i="3"/>
  <c r="J380" i="3"/>
  <c r="J508" i="3"/>
  <c r="J620" i="3"/>
  <c r="J61" i="3"/>
  <c r="J173" i="3"/>
  <c r="J285" i="3"/>
  <c r="J397" i="3"/>
  <c r="J509" i="3"/>
  <c r="J605" i="3"/>
  <c r="J46" i="3"/>
  <c r="J190" i="3"/>
  <c r="J334" i="3"/>
  <c r="J462" i="3"/>
  <c r="J606" i="3"/>
  <c r="J79" i="3"/>
  <c r="J207" i="3"/>
  <c r="J335" i="3"/>
  <c r="J447" i="3"/>
  <c r="J591" i="3"/>
  <c r="J32" i="3"/>
  <c r="J208" i="3"/>
  <c r="J352" i="3"/>
  <c r="J2" i="3"/>
  <c r="J18" i="3"/>
  <c r="J34" i="3"/>
  <c r="J50" i="3"/>
  <c r="J66" i="3"/>
  <c r="J82" i="3"/>
  <c r="J98" i="3"/>
  <c r="J114" i="3"/>
  <c r="J130" i="3"/>
  <c r="J146" i="3"/>
  <c r="J162" i="3"/>
  <c r="J178" i="3"/>
  <c r="J194" i="3"/>
  <c r="J210" i="3"/>
  <c r="J226" i="3"/>
  <c r="J242" i="3"/>
  <c r="J258" i="3"/>
  <c r="J274" i="3"/>
  <c r="J290" i="3"/>
  <c r="J306" i="3"/>
  <c r="J322" i="3"/>
  <c r="J338" i="3"/>
  <c r="J354" i="3"/>
  <c r="J370" i="3"/>
  <c r="J386" i="3"/>
  <c r="J402" i="3"/>
  <c r="J418" i="3"/>
  <c r="J434" i="3"/>
  <c r="J450" i="3"/>
  <c r="J466" i="3"/>
  <c r="J482" i="3"/>
  <c r="J498" i="3"/>
  <c r="J514" i="3"/>
  <c r="J530" i="3"/>
  <c r="J546" i="3"/>
  <c r="J562" i="3"/>
  <c r="J578" i="3"/>
  <c r="J594" i="3"/>
  <c r="J610" i="3"/>
  <c r="J626" i="3"/>
  <c r="J642" i="3"/>
  <c r="J658" i="3"/>
  <c r="J674" i="3"/>
  <c r="J119" i="3"/>
  <c r="J247" i="3"/>
  <c r="J343" i="3"/>
  <c r="J439" i="3"/>
  <c r="J519" i="3"/>
  <c r="J631" i="3"/>
  <c r="J440" i="3"/>
  <c r="J584" i="3"/>
  <c r="J58" i="3"/>
  <c r="J234" i="3"/>
  <c r="J362" i="3"/>
  <c r="J474" i="3"/>
  <c r="J634" i="3"/>
  <c r="J59" i="3"/>
  <c r="J235" i="3"/>
  <c r="J363" i="3"/>
  <c r="J475" i="3"/>
  <c r="J587" i="3"/>
  <c r="J44" i="3"/>
  <c r="J140" i="3"/>
  <c r="J252" i="3"/>
  <c r="J364" i="3"/>
  <c r="J492" i="3"/>
  <c r="J604" i="3"/>
  <c r="J77" i="3"/>
  <c r="J157" i="3"/>
  <c r="J301" i="3"/>
  <c r="J429" i="3"/>
  <c r="J541" i="3"/>
  <c r="J669" i="3"/>
  <c r="J62" i="3"/>
  <c r="J174" i="3"/>
  <c r="J318" i="3"/>
  <c r="J478" i="3"/>
  <c r="J590" i="3"/>
  <c r="J63" i="3"/>
  <c r="J191" i="3"/>
  <c r="J351" i="3"/>
  <c r="J495" i="3"/>
  <c r="J623" i="3"/>
  <c r="J112" i="3"/>
  <c r="J160" i="3"/>
  <c r="J3" i="3"/>
  <c r="J19" i="3"/>
  <c r="J35" i="3"/>
  <c r="J51" i="3"/>
  <c r="J67" i="3"/>
  <c r="J83" i="3"/>
  <c r="J99" i="3"/>
  <c r="J115" i="3"/>
  <c r="J131" i="3"/>
  <c r="J147" i="3"/>
  <c r="J163" i="3"/>
  <c r="J179" i="3"/>
  <c r="J195" i="3"/>
  <c r="J211" i="3"/>
  <c r="J227" i="3"/>
  <c r="J243" i="3"/>
  <c r="J259" i="3"/>
  <c r="J275" i="3"/>
  <c r="J291" i="3"/>
  <c r="J307" i="3"/>
  <c r="J323" i="3"/>
  <c r="J339" i="3"/>
  <c r="J355" i="3"/>
  <c r="J371" i="3"/>
  <c r="J387" i="3"/>
  <c r="J403" i="3"/>
  <c r="J419" i="3"/>
  <c r="J435" i="3"/>
  <c r="J451" i="3"/>
  <c r="J467" i="3"/>
  <c r="J483" i="3"/>
  <c r="J499" i="3"/>
  <c r="J515" i="3"/>
  <c r="J531" i="3"/>
  <c r="J547" i="3"/>
  <c r="J563" i="3"/>
  <c r="J579" i="3"/>
  <c r="J595" i="3"/>
  <c r="J611" i="3"/>
  <c r="J627" i="3"/>
  <c r="J643" i="3"/>
  <c r="J659" i="3"/>
  <c r="J675" i="3"/>
  <c r="J87" i="3"/>
  <c r="J279" i="3"/>
  <c r="J423" i="3"/>
  <c r="J535" i="3"/>
  <c r="J599" i="3"/>
  <c r="J392" i="3"/>
  <c r="J552" i="3"/>
  <c r="J664" i="3"/>
  <c r="J106" i="3"/>
  <c r="J170" i="3"/>
  <c r="J282" i="3"/>
  <c r="J394" i="3"/>
  <c r="J506" i="3"/>
  <c r="J618" i="3"/>
  <c r="J27" i="3"/>
  <c r="J171" i="3"/>
  <c r="J347" i="3"/>
  <c r="J507" i="3"/>
  <c r="J635" i="3"/>
  <c r="J92" i="3"/>
  <c r="J188" i="3"/>
  <c r="J284" i="3"/>
  <c r="J428" i="3"/>
  <c r="J540" i="3"/>
  <c r="J652" i="3"/>
  <c r="J29" i="3"/>
  <c r="J189" i="3"/>
  <c r="J317" i="3"/>
  <c r="J493" i="3"/>
  <c r="J637" i="3"/>
  <c r="J94" i="3"/>
  <c r="J158" i="3"/>
  <c r="J302" i="3"/>
  <c r="J430" i="3"/>
  <c r="J574" i="3"/>
  <c r="J47" i="3"/>
  <c r="J223" i="3"/>
  <c r="J399" i="3"/>
  <c r="J575" i="3"/>
  <c r="J96" i="3"/>
  <c r="J192" i="3"/>
  <c r="J336" i="3"/>
  <c r="J4" i="3"/>
  <c r="J20" i="3"/>
  <c r="J36" i="3"/>
  <c r="J52" i="3"/>
  <c r="J68" i="3"/>
  <c r="J84" i="3"/>
  <c r="J100" i="3"/>
  <c r="J116" i="3"/>
  <c r="J132" i="3"/>
  <c r="J148" i="3"/>
  <c r="J164" i="3"/>
  <c r="J180" i="3"/>
  <c r="J196" i="3"/>
  <c r="J212" i="3"/>
  <c r="J228" i="3"/>
  <c r="J244" i="3"/>
  <c r="J260" i="3"/>
  <c r="J276" i="3"/>
  <c r="J292" i="3"/>
  <c r="J308" i="3"/>
  <c r="J324" i="3"/>
  <c r="J340" i="3"/>
  <c r="J356" i="3"/>
  <c r="J372" i="3"/>
  <c r="J388" i="3"/>
  <c r="J404" i="3"/>
  <c r="J420" i="3"/>
  <c r="J436" i="3"/>
  <c r="J452" i="3"/>
  <c r="J468" i="3"/>
  <c r="J484" i="3"/>
  <c r="J500" i="3"/>
  <c r="J516" i="3"/>
  <c r="J532" i="3"/>
  <c r="J548" i="3"/>
  <c r="J564" i="3"/>
  <c r="J580" i="3"/>
  <c r="J596" i="3"/>
  <c r="J612" i="3"/>
  <c r="J628" i="3"/>
  <c r="J644" i="3"/>
  <c r="J660" i="3"/>
  <c r="J676" i="3"/>
  <c r="J103" i="3"/>
  <c r="J263" i="3"/>
  <c r="J359" i="3"/>
  <c r="J503" i="3"/>
  <c r="J615" i="3"/>
  <c r="J408" i="3"/>
  <c r="J536" i="3"/>
  <c r="J648" i="3"/>
  <c r="J122" i="3"/>
  <c r="J154" i="3"/>
  <c r="J298" i="3"/>
  <c r="J410" i="3"/>
  <c r="J490" i="3"/>
  <c r="J602" i="3"/>
  <c r="J43" i="3"/>
  <c r="J139" i="3"/>
  <c r="J283" i="3"/>
  <c r="J411" i="3"/>
  <c r="J539" i="3"/>
  <c r="J651" i="3"/>
  <c r="J108" i="3"/>
  <c r="J204" i="3"/>
  <c r="J300" i="3"/>
  <c r="J396" i="3"/>
  <c r="J524" i="3"/>
  <c r="J636" i="3"/>
  <c r="J13" i="3"/>
  <c r="J205" i="3"/>
  <c r="J333" i="3"/>
  <c r="J477" i="3"/>
  <c r="J621" i="3"/>
  <c r="J78" i="3"/>
  <c r="J238" i="3"/>
  <c r="J382" i="3"/>
  <c r="J526" i="3"/>
  <c r="J670" i="3"/>
  <c r="J127" i="3"/>
  <c r="J239" i="3"/>
  <c r="J367" i="3"/>
  <c r="J559" i="3"/>
  <c r="J80" i="3"/>
  <c r="J176" i="3"/>
  <c r="J5" i="3"/>
  <c r="J21" i="3"/>
  <c r="J37" i="3"/>
  <c r="J53" i="3"/>
  <c r="J69" i="3"/>
  <c r="J85" i="3"/>
  <c r="J101" i="3"/>
  <c r="J117" i="3"/>
  <c r="J133" i="3"/>
  <c r="J149" i="3"/>
  <c r="J165" i="3"/>
  <c r="J181" i="3"/>
  <c r="J197" i="3"/>
  <c r="J213" i="3"/>
  <c r="J229" i="3"/>
  <c r="J245" i="3"/>
  <c r="J261" i="3"/>
  <c r="J277" i="3"/>
  <c r="J293" i="3"/>
  <c r="J309" i="3"/>
  <c r="J325" i="3"/>
  <c r="J341" i="3"/>
  <c r="J357" i="3"/>
  <c r="J373" i="3"/>
  <c r="J389" i="3"/>
  <c r="J405" i="3"/>
  <c r="J421" i="3"/>
  <c r="J437" i="3"/>
  <c r="J453" i="3"/>
  <c r="J469" i="3"/>
  <c r="J485" i="3"/>
  <c r="J501" i="3"/>
  <c r="J517" i="3"/>
  <c r="J533" i="3"/>
  <c r="J549" i="3"/>
  <c r="J565" i="3"/>
  <c r="J581" i="3"/>
  <c r="J597" i="3"/>
  <c r="J613" i="3"/>
  <c r="J629" i="3"/>
  <c r="J645" i="3"/>
  <c r="J661" i="3"/>
  <c r="J677" i="3"/>
  <c r="J151" i="3"/>
  <c r="J311" i="3"/>
  <c r="J375" i="3"/>
  <c r="J487" i="3"/>
  <c r="J583" i="3"/>
  <c r="J679" i="3"/>
  <c r="J472" i="3"/>
  <c r="J504" i="3"/>
  <c r="J616" i="3"/>
  <c r="J42" i="3"/>
  <c r="J202" i="3"/>
  <c r="J346" i="3"/>
  <c r="J522" i="3"/>
  <c r="J75" i="3"/>
  <c r="J187" i="3"/>
  <c r="J315" i="3"/>
  <c r="J427" i="3"/>
  <c r="J571" i="3"/>
  <c r="J12" i="3"/>
  <c r="J172" i="3"/>
  <c r="J316" i="3"/>
  <c r="J444" i="3"/>
  <c r="J588" i="3"/>
  <c r="J109" i="3"/>
  <c r="J141" i="3"/>
  <c r="J253" i="3"/>
  <c r="J365" i="3"/>
  <c r="J461" i="3"/>
  <c r="J557" i="3"/>
  <c r="J14" i="3"/>
  <c r="J222" i="3"/>
  <c r="J366" i="3"/>
  <c r="J494" i="3"/>
  <c r="J638" i="3"/>
  <c r="J95" i="3"/>
  <c r="J175" i="3"/>
  <c r="J319" i="3"/>
  <c r="J415" i="3"/>
  <c r="J527" i="3"/>
  <c r="J655" i="3"/>
  <c r="J48" i="3"/>
  <c r="J240" i="3"/>
  <c r="J6" i="3"/>
  <c r="J22" i="3"/>
  <c r="J38" i="3"/>
  <c r="J54" i="3"/>
  <c r="J70" i="3"/>
  <c r="J86" i="3"/>
  <c r="J102" i="3"/>
  <c r="J118" i="3"/>
  <c r="J134" i="3"/>
  <c r="J150" i="3"/>
  <c r="J166" i="3"/>
  <c r="J182" i="3"/>
  <c r="J198" i="3"/>
  <c r="J214" i="3"/>
  <c r="J230" i="3"/>
  <c r="J246" i="3"/>
  <c r="J262" i="3"/>
  <c r="J278" i="3"/>
  <c r="J294" i="3"/>
  <c r="J310" i="3"/>
  <c r="J326" i="3"/>
  <c r="J342" i="3"/>
  <c r="J358" i="3"/>
  <c r="J374" i="3"/>
  <c r="J390" i="3"/>
  <c r="J406" i="3"/>
  <c r="J422" i="3"/>
  <c r="J438" i="3"/>
  <c r="J454" i="3"/>
  <c r="J470" i="3"/>
  <c r="J486" i="3"/>
  <c r="J502" i="3"/>
  <c r="J518" i="3"/>
  <c r="J534" i="3"/>
  <c r="J550" i="3"/>
  <c r="J566" i="3"/>
  <c r="J582" i="3"/>
  <c r="J598" i="3"/>
  <c r="J614" i="3"/>
  <c r="J630" i="3"/>
  <c r="J646" i="3"/>
  <c r="J662" i="3"/>
  <c r="J678" i="3"/>
  <c r="J135" i="3"/>
  <c r="J295" i="3"/>
  <c r="J391" i="3"/>
  <c r="J471" i="3"/>
  <c r="J567" i="3"/>
  <c r="J663" i="3"/>
  <c r="J456" i="3"/>
  <c r="J520" i="3"/>
  <c r="J632" i="3"/>
  <c r="J10" i="3"/>
  <c r="J250" i="3"/>
  <c r="J458" i="3"/>
  <c r="J650" i="3"/>
  <c r="J107" i="3"/>
  <c r="J203" i="3"/>
  <c r="J331" i="3"/>
  <c r="J443" i="3"/>
  <c r="J555" i="3"/>
  <c r="J667" i="3"/>
  <c r="J60" i="3"/>
  <c r="J220" i="3"/>
  <c r="J332" i="3"/>
  <c r="J460" i="3"/>
  <c r="J556" i="3"/>
  <c r="J93" i="3"/>
  <c r="J237" i="3"/>
  <c r="J349" i="3"/>
  <c r="J445" i="3"/>
  <c r="J573" i="3"/>
  <c r="J30" i="3"/>
  <c r="J206" i="3"/>
  <c r="J350" i="3"/>
  <c r="J510" i="3"/>
  <c r="J654" i="3"/>
  <c r="J111" i="3"/>
  <c r="J159" i="3"/>
  <c r="J303" i="3"/>
  <c r="J431" i="3"/>
  <c r="J543" i="3"/>
  <c r="J639" i="3"/>
  <c r="J64" i="3"/>
  <c r="J224" i="3"/>
  <c r="J7" i="3"/>
  <c r="J23" i="3"/>
  <c r="J39" i="3"/>
  <c r="J55" i="3"/>
  <c r="J71" i="3"/>
  <c r="J167" i="3"/>
  <c r="J183" i="3"/>
  <c r="J215" i="3"/>
  <c r="J231" i="3"/>
  <c r="J327" i="3"/>
  <c r="J455" i="3"/>
  <c r="J90" i="3"/>
  <c r="J266" i="3"/>
  <c r="J426" i="3"/>
  <c r="J570" i="3"/>
  <c r="J11" i="3"/>
  <c r="J251" i="3"/>
  <c r="J491" i="3"/>
  <c r="J124" i="3"/>
  <c r="J412" i="3"/>
  <c r="J668" i="3"/>
  <c r="J125" i="3"/>
  <c r="J413" i="3"/>
  <c r="J653" i="3"/>
  <c r="J126" i="3"/>
  <c r="J270" i="3"/>
  <c r="J398" i="3"/>
  <c r="J542" i="3"/>
  <c r="J31" i="3"/>
  <c r="J255" i="3"/>
  <c r="J463" i="3"/>
  <c r="J671" i="3"/>
  <c r="J144" i="3"/>
  <c r="J272" i="3"/>
  <c r="J368" i="3"/>
  <c r="J8" i="3"/>
  <c r="J24" i="3"/>
  <c r="J40" i="3"/>
  <c r="J56" i="3"/>
  <c r="J72" i="3"/>
  <c r="J88" i="3"/>
  <c r="J104" i="3"/>
  <c r="J120" i="3"/>
  <c r="J136" i="3"/>
  <c r="J152" i="3"/>
  <c r="J168" i="3"/>
  <c r="J184" i="3"/>
  <c r="J200" i="3"/>
  <c r="J216" i="3"/>
  <c r="J232" i="3"/>
  <c r="J248" i="3"/>
  <c r="J264" i="3"/>
  <c r="J280" i="3"/>
  <c r="J296" i="3"/>
  <c r="J312" i="3"/>
  <c r="J328" i="3"/>
  <c r="J344" i="3"/>
  <c r="J360" i="3"/>
  <c r="J376" i="3"/>
  <c r="J488" i="3"/>
  <c r="J600" i="3"/>
  <c r="J138" i="3"/>
  <c r="J186" i="3"/>
  <c r="J314" i="3"/>
  <c r="J442" i="3"/>
  <c r="J554" i="3"/>
  <c r="J666" i="3"/>
  <c r="J269" i="3"/>
  <c r="J589" i="3"/>
  <c r="J142" i="3"/>
  <c r="J254" i="3"/>
  <c r="J414" i="3"/>
  <c r="J558" i="3"/>
  <c r="J15" i="3"/>
  <c r="J287" i="3"/>
  <c r="J511" i="3"/>
  <c r="J128" i="3"/>
  <c r="J256" i="3"/>
  <c r="J384" i="3"/>
  <c r="J9" i="3"/>
  <c r="J25" i="3"/>
  <c r="J41" i="3"/>
  <c r="J57" i="3"/>
  <c r="J73" i="3"/>
  <c r="J89" i="3"/>
  <c r="J105" i="3"/>
  <c r="J121" i="3"/>
  <c r="J137" i="3"/>
  <c r="J153" i="3"/>
  <c r="J169" i="3"/>
  <c r="J185" i="3"/>
  <c r="J201" i="3"/>
  <c r="J217" i="3"/>
  <c r="J233" i="3"/>
  <c r="J249" i="3"/>
  <c r="J265" i="3"/>
  <c r="J281" i="3"/>
  <c r="J297" i="3"/>
  <c r="J313" i="3"/>
  <c r="J329" i="3"/>
  <c r="J345" i="3"/>
  <c r="J361" i="3"/>
  <c r="J377" i="3"/>
  <c r="J393" i="3"/>
  <c r="J409" i="3"/>
  <c r="J425" i="3"/>
  <c r="J441" i="3"/>
  <c r="J457" i="3"/>
  <c r="J473" i="3"/>
  <c r="J489" i="3"/>
  <c r="J505" i="3"/>
  <c r="J521" i="3"/>
  <c r="J537" i="3"/>
  <c r="J553" i="3"/>
  <c r="J569" i="3"/>
  <c r="J585" i="3"/>
  <c r="J601" i="3"/>
  <c r="J617" i="3"/>
  <c r="J633" i="3"/>
  <c r="J649" i="3"/>
  <c r="J665" i="3"/>
  <c r="J26" i="3"/>
  <c r="J330" i="3"/>
  <c r="J586" i="3"/>
  <c r="J123" i="3"/>
  <c r="J267" i="3"/>
  <c r="J395" i="3"/>
  <c r="J523" i="3"/>
  <c r="J619" i="3"/>
  <c r="J76" i="3"/>
  <c r="J236" i="3"/>
  <c r="J348" i="3"/>
  <c r="J476" i="3"/>
  <c r="J572" i="3"/>
  <c r="J45" i="3"/>
  <c r="J221" i="3"/>
  <c r="J381" i="3"/>
  <c r="J525" i="3"/>
  <c r="J110" i="3"/>
  <c r="J286" i="3"/>
  <c r="J446" i="3"/>
  <c r="J622" i="3"/>
  <c r="J143" i="3"/>
  <c r="J271" i="3"/>
  <c r="J383" i="3"/>
  <c r="J479" i="3"/>
  <c r="J607" i="3"/>
  <c r="J16" i="3"/>
  <c r="J288" i="3"/>
  <c r="J304" i="3"/>
  <c r="J624" i="3"/>
  <c r="J320" i="3"/>
  <c r="J640" i="3"/>
  <c r="J400" i="3"/>
  <c r="J656" i="3"/>
  <c r="J416" i="3"/>
  <c r="J672" i="3"/>
  <c r="J432" i="3"/>
  <c r="J448" i="3"/>
  <c r="J464" i="3"/>
  <c r="J480" i="3"/>
  <c r="J496" i="3"/>
  <c r="J512" i="3"/>
  <c r="J528" i="3"/>
  <c r="J544" i="3"/>
  <c r="J560" i="3"/>
  <c r="J576" i="3"/>
  <c r="J592" i="3"/>
  <c r="J608" i="3"/>
  <c r="E17" i="3"/>
  <c r="E97" i="3"/>
  <c r="E273" i="3"/>
  <c r="E541" i="3"/>
  <c r="E66" i="3"/>
  <c r="E130" i="3"/>
  <c r="E386" i="3"/>
  <c r="E642" i="3"/>
  <c r="E183" i="3"/>
  <c r="E171" i="3"/>
  <c r="E76" i="3"/>
  <c r="E302" i="3"/>
  <c r="E483" i="3"/>
  <c r="E643" i="3"/>
  <c r="E487" i="3"/>
  <c r="E505" i="3"/>
  <c r="E299" i="3"/>
  <c r="E444" i="3"/>
  <c r="E148" i="3"/>
  <c r="E164" i="3"/>
  <c r="E308" i="3"/>
  <c r="E404" i="3"/>
  <c r="E420" i="3"/>
  <c r="E279" i="3"/>
  <c r="E44" i="3"/>
  <c r="E204" i="3"/>
  <c r="E21" i="3"/>
  <c r="E117" i="3"/>
  <c r="E277" i="3"/>
  <c r="E389" i="3"/>
  <c r="E469" i="3"/>
  <c r="E533" i="3"/>
  <c r="E629" i="3"/>
  <c r="E645" i="3"/>
  <c r="E630" i="3"/>
  <c r="E410" i="3"/>
  <c r="E86" i="3"/>
  <c r="E102" i="3"/>
  <c r="E262" i="3"/>
  <c r="E74" i="3"/>
  <c r="E346" i="3"/>
  <c r="E397" i="3"/>
  <c r="E55" i="3"/>
  <c r="E71" i="3"/>
  <c r="E602" i="3"/>
  <c r="E40" i="3"/>
  <c r="E184" i="3"/>
  <c r="E280" i="3"/>
  <c r="E568" i="3"/>
  <c r="E442" i="3"/>
  <c r="E572" i="3"/>
  <c r="E9" i="3"/>
  <c r="E265" i="3"/>
  <c r="E522" i="3"/>
  <c r="E395" i="3"/>
  <c r="E188" i="3"/>
  <c r="E333" i="3"/>
  <c r="E445" i="3"/>
  <c r="E45" i="3"/>
  <c r="E30" i="3"/>
  <c r="E143" i="3"/>
  <c r="E640" i="3"/>
  <c r="E480" i="3"/>
  <c r="E576" i="3"/>
  <c r="E591" i="3"/>
  <c r="E367" i="3"/>
  <c r="C17" i="2"/>
  <c r="D17" i="2" s="1"/>
  <c r="C33" i="2"/>
  <c r="C49" i="2"/>
  <c r="D49" i="2" s="1"/>
  <c r="C65" i="2"/>
  <c r="D65" i="2" s="1"/>
  <c r="C81" i="2"/>
  <c r="D81" i="2" s="1"/>
  <c r="C97" i="2"/>
  <c r="D97" i="2" s="1"/>
  <c r="C113" i="2"/>
  <c r="D113" i="2" s="1"/>
  <c r="C129" i="2"/>
  <c r="D129" i="2" s="1"/>
  <c r="C145" i="2"/>
  <c r="D145" i="2" s="1"/>
  <c r="C161" i="2"/>
  <c r="C177" i="2"/>
  <c r="D177" i="2" s="1"/>
  <c r="C193" i="2"/>
  <c r="D193" i="2" s="1"/>
  <c r="C209" i="2"/>
  <c r="D209" i="2" s="1"/>
  <c r="C225" i="2"/>
  <c r="D225" i="2" s="1"/>
  <c r="C241" i="2"/>
  <c r="C257" i="2"/>
  <c r="D257" i="2" s="1"/>
  <c r="C273" i="2"/>
  <c r="D273" i="2" s="1"/>
  <c r="C289" i="2"/>
  <c r="C305" i="2"/>
  <c r="D305" i="2" s="1"/>
  <c r="C321" i="2"/>
  <c r="D321" i="2" s="1"/>
  <c r="C337" i="2"/>
  <c r="D337" i="2" s="1"/>
  <c r="C353" i="2"/>
  <c r="D353" i="2" s="1"/>
  <c r="C369" i="2"/>
  <c r="D369" i="2" s="1"/>
  <c r="C385" i="2"/>
  <c r="D385" i="2" s="1"/>
  <c r="C401" i="2"/>
  <c r="D401" i="2" s="1"/>
  <c r="C417" i="2"/>
  <c r="C433" i="2"/>
  <c r="D433" i="2" s="1"/>
  <c r="C449" i="2"/>
  <c r="D449" i="2" s="1"/>
  <c r="C465" i="2"/>
  <c r="D465" i="2" s="1"/>
  <c r="C481" i="2"/>
  <c r="D481" i="2" s="1"/>
  <c r="C497" i="2"/>
  <c r="C513" i="2"/>
  <c r="D513" i="2" s="1"/>
  <c r="C529" i="2"/>
  <c r="C545" i="2"/>
  <c r="C561" i="2"/>
  <c r="C311" i="2"/>
  <c r="D311" i="2" s="1"/>
  <c r="C487" i="2"/>
  <c r="D487" i="2" s="1"/>
  <c r="C152" i="2"/>
  <c r="D152" i="2" s="1"/>
  <c r="C248" i="2"/>
  <c r="D248" i="2" s="1"/>
  <c r="C360" i="2"/>
  <c r="D360" i="2" s="1"/>
  <c r="C472" i="2"/>
  <c r="D472" i="2" s="1"/>
  <c r="C552" i="2"/>
  <c r="C57" i="2"/>
  <c r="D57" i="2" s="1"/>
  <c r="C169" i="2"/>
  <c r="D169" i="2" s="1"/>
  <c r="C313" i="2"/>
  <c r="D313" i="2" s="1"/>
  <c r="C457" i="2"/>
  <c r="D457" i="2" s="1"/>
  <c r="C553" i="2"/>
  <c r="C122" i="2"/>
  <c r="D122" i="2" s="1"/>
  <c r="C298" i="2"/>
  <c r="D298" i="2" s="1"/>
  <c r="C458" i="2"/>
  <c r="C91" i="2"/>
  <c r="D91" i="2" s="1"/>
  <c r="C171" i="2"/>
  <c r="D171" i="2" s="1"/>
  <c r="C299" i="2"/>
  <c r="D299" i="2" s="1"/>
  <c r="C475" i="2"/>
  <c r="D475" i="2" s="1"/>
  <c r="C124" i="2"/>
  <c r="D124" i="2" s="1"/>
  <c r="C188" i="2"/>
  <c r="D188" i="2" s="1"/>
  <c r="C332" i="2"/>
  <c r="D332" i="2" s="1"/>
  <c r="C444" i="2"/>
  <c r="D444" i="2" s="1"/>
  <c r="C29" i="2"/>
  <c r="D29" i="2" s="1"/>
  <c r="C221" i="2"/>
  <c r="D221" i="2" s="1"/>
  <c r="C413" i="2"/>
  <c r="D413" i="2" s="1"/>
  <c r="C78" i="2"/>
  <c r="D78" i="2" s="1"/>
  <c r="C318" i="2"/>
  <c r="C526" i="2"/>
  <c r="D526" i="2" s="1"/>
  <c r="C159" i="2"/>
  <c r="D159" i="2" s="1"/>
  <c r="C303" i="2"/>
  <c r="D303" i="2" s="1"/>
  <c r="C415" i="2"/>
  <c r="C559" i="2"/>
  <c r="C112" i="2"/>
  <c r="D112" i="2" s="1"/>
  <c r="C272" i="2"/>
  <c r="D272" i="2" s="1"/>
  <c r="C432" i="2"/>
  <c r="D432" i="2" s="1"/>
  <c r="C2" i="2"/>
  <c r="D2" i="2" s="1"/>
  <c r="C18" i="2"/>
  <c r="D18" i="2" s="1"/>
  <c r="C34" i="2"/>
  <c r="C50" i="2"/>
  <c r="D50" i="2" s="1"/>
  <c r="C66" i="2"/>
  <c r="D66" i="2" s="1"/>
  <c r="C82" i="2"/>
  <c r="D82" i="2" s="1"/>
  <c r="C98" i="2"/>
  <c r="D98" i="2" s="1"/>
  <c r="C114" i="2"/>
  <c r="C130" i="2"/>
  <c r="C146" i="2"/>
  <c r="D146" i="2" s="1"/>
  <c r="C162" i="2"/>
  <c r="C178" i="2"/>
  <c r="D178" i="2" s="1"/>
  <c r="C194" i="2"/>
  <c r="D194" i="2" s="1"/>
  <c r="C210" i="2"/>
  <c r="D210" i="2" s="1"/>
  <c r="C226" i="2"/>
  <c r="D226" i="2" s="1"/>
  <c r="C242" i="2"/>
  <c r="D242" i="2" s="1"/>
  <c r="C258" i="2"/>
  <c r="D258" i="2" s="1"/>
  <c r="C274" i="2"/>
  <c r="D274" i="2" s="1"/>
  <c r="C290" i="2"/>
  <c r="C306" i="2"/>
  <c r="D306" i="2" s="1"/>
  <c r="C322" i="2"/>
  <c r="D322" i="2" s="1"/>
  <c r="C338" i="2"/>
  <c r="D338" i="2" s="1"/>
  <c r="C354" i="2"/>
  <c r="D354" i="2" s="1"/>
  <c r="C370" i="2"/>
  <c r="C386" i="2"/>
  <c r="D386" i="2" s="1"/>
  <c r="C402" i="2"/>
  <c r="D402" i="2" s="1"/>
  <c r="C418" i="2"/>
  <c r="D418" i="2" s="1"/>
  <c r="C434" i="2"/>
  <c r="D434" i="2" s="1"/>
  <c r="C450" i="2"/>
  <c r="D450" i="2" s="1"/>
  <c r="C466" i="2"/>
  <c r="D466" i="2" s="1"/>
  <c r="C482" i="2"/>
  <c r="D482" i="2" s="1"/>
  <c r="C498" i="2"/>
  <c r="D498" i="2" s="1"/>
  <c r="C514" i="2"/>
  <c r="D514" i="2" s="1"/>
  <c r="C530" i="2"/>
  <c r="D530" i="2" s="1"/>
  <c r="C546" i="2"/>
  <c r="C373" i="2"/>
  <c r="D373" i="2" s="1"/>
  <c r="C485" i="2"/>
  <c r="D485" i="2" s="1"/>
  <c r="C549" i="2"/>
  <c r="D549" i="2" s="1"/>
  <c r="C534" i="2"/>
  <c r="D534" i="2" s="1"/>
  <c r="C71" i="2"/>
  <c r="C119" i="2"/>
  <c r="C199" i="2"/>
  <c r="D199" i="2" s="1"/>
  <c r="C263" i="2"/>
  <c r="D263" i="2" s="1"/>
  <c r="C343" i="2"/>
  <c r="C423" i="2"/>
  <c r="D423" i="2" s="1"/>
  <c r="C519" i="2"/>
  <c r="D519" i="2" s="1"/>
  <c r="C104" i="2"/>
  <c r="D104" i="2" s="1"/>
  <c r="C264" i="2"/>
  <c r="D264" i="2" s="1"/>
  <c r="C376" i="2"/>
  <c r="D376" i="2" s="1"/>
  <c r="C504" i="2"/>
  <c r="D504" i="2" s="1"/>
  <c r="C41" i="2"/>
  <c r="C233" i="2"/>
  <c r="D233" i="2" s="1"/>
  <c r="C409" i="2"/>
  <c r="D409" i="2" s="1"/>
  <c r="C537" i="2"/>
  <c r="D537" i="2" s="1"/>
  <c r="C170" i="2"/>
  <c r="D170" i="2" s="1"/>
  <c r="C282" i="2"/>
  <c r="C426" i="2"/>
  <c r="D426" i="2" s="1"/>
  <c r="C43" i="2"/>
  <c r="D43" i="2" s="1"/>
  <c r="C235" i="2"/>
  <c r="D235" i="2" s="1"/>
  <c r="C379" i="2"/>
  <c r="C523" i="2"/>
  <c r="D523" i="2" s="1"/>
  <c r="C108" i="2"/>
  <c r="D108" i="2" s="1"/>
  <c r="C204" i="2"/>
  <c r="D204" i="2" s="1"/>
  <c r="C364" i="2"/>
  <c r="D364" i="2" s="1"/>
  <c r="C508" i="2"/>
  <c r="D508" i="2" s="1"/>
  <c r="C141" i="2"/>
  <c r="D141" i="2" s="1"/>
  <c r="C205" i="2"/>
  <c r="C365" i="2"/>
  <c r="D365" i="2" s="1"/>
  <c r="C557" i="2"/>
  <c r="C94" i="2"/>
  <c r="D94" i="2" s="1"/>
  <c r="C334" i="2"/>
  <c r="D334" i="2" s="1"/>
  <c r="C510" i="2"/>
  <c r="C143" i="2"/>
  <c r="C319" i="2"/>
  <c r="D319" i="2" s="1"/>
  <c r="C463" i="2"/>
  <c r="C16" i="2"/>
  <c r="D16" i="2" s="1"/>
  <c r="C288" i="2"/>
  <c r="D288" i="2" s="1"/>
  <c r="C496" i="2"/>
  <c r="D496" i="2" s="1"/>
  <c r="C3" i="2"/>
  <c r="D3" i="2" s="1"/>
  <c r="C19" i="2"/>
  <c r="D19" i="2" s="1"/>
  <c r="C35" i="2"/>
  <c r="D35" i="2" s="1"/>
  <c r="C51" i="2"/>
  <c r="D51" i="2" s="1"/>
  <c r="C67" i="2"/>
  <c r="C83" i="2"/>
  <c r="D83" i="2" s="1"/>
  <c r="C99" i="2"/>
  <c r="D99" i="2" s="1"/>
  <c r="C115" i="2"/>
  <c r="D115" i="2" s="1"/>
  <c r="C131" i="2"/>
  <c r="D131" i="2" s="1"/>
  <c r="C147" i="2"/>
  <c r="C163" i="2"/>
  <c r="D163" i="2" s="1"/>
  <c r="C179" i="2"/>
  <c r="D179" i="2" s="1"/>
  <c r="C195" i="2"/>
  <c r="D195" i="2" s="1"/>
  <c r="C211" i="2"/>
  <c r="D211" i="2" s="1"/>
  <c r="C227" i="2"/>
  <c r="D227" i="2" s="1"/>
  <c r="C243" i="2"/>
  <c r="D243" i="2" s="1"/>
  <c r="C259" i="2"/>
  <c r="D259" i="2" s="1"/>
  <c r="C275" i="2"/>
  <c r="D275" i="2" s="1"/>
  <c r="C291" i="2"/>
  <c r="D291" i="2" s="1"/>
  <c r="C307" i="2"/>
  <c r="D307" i="2" s="1"/>
  <c r="C323" i="2"/>
  <c r="C339" i="2"/>
  <c r="D339" i="2" s="1"/>
  <c r="C355" i="2"/>
  <c r="D355" i="2" s="1"/>
  <c r="C371" i="2"/>
  <c r="D371" i="2" s="1"/>
  <c r="C387" i="2"/>
  <c r="D387" i="2" s="1"/>
  <c r="C403" i="2"/>
  <c r="C419" i="2"/>
  <c r="D419" i="2" s="1"/>
  <c r="C435" i="2"/>
  <c r="D435" i="2" s="1"/>
  <c r="C451" i="2"/>
  <c r="D451" i="2" s="1"/>
  <c r="C467" i="2"/>
  <c r="D467" i="2" s="1"/>
  <c r="C483" i="2"/>
  <c r="D483" i="2" s="1"/>
  <c r="C499" i="2"/>
  <c r="D499" i="2" s="1"/>
  <c r="C515" i="2"/>
  <c r="D515" i="2" s="1"/>
  <c r="C531" i="2"/>
  <c r="D531" i="2" s="1"/>
  <c r="C547" i="2"/>
  <c r="D547" i="2" s="1"/>
  <c r="C421" i="2"/>
  <c r="D421" i="2" s="1"/>
  <c r="C453" i="2"/>
  <c r="C517" i="2"/>
  <c r="D517" i="2" s="1"/>
  <c r="C502" i="2"/>
  <c r="D502" i="2" s="1"/>
  <c r="C39" i="2"/>
  <c r="D39" i="2" s="1"/>
  <c r="C151" i="2"/>
  <c r="D151" i="2" s="1"/>
  <c r="C231" i="2"/>
  <c r="C359" i="2"/>
  <c r="D359" i="2" s="1"/>
  <c r="C439" i="2"/>
  <c r="D439" i="2" s="1"/>
  <c r="C535" i="2"/>
  <c r="D535" i="2" s="1"/>
  <c r="C120" i="2"/>
  <c r="D120" i="2" s="1"/>
  <c r="C296" i="2"/>
  <c r="C424" i="2"/>
  <c r="D424" i="2" s="1"/>
  <c r="C520" i="2"/>
  <c r="D520" i="2" s="1"/>
  <c r="C73" i="2"/>
  <c r="D73" i="2" s="1"/>
  <c r="C153" i="2"/>
  <c r="D153" i="2" s="1"/>
  <c r="C281" i="2"/>
  <c r="D281" i="2" s="1"/>
  <c r="C361" i="2"/>
  <c r="C505" i="2"/>
  <c r="D505" i="2" s="1"/>
  <c r="C138" i="2"/>
  <c r="D138" i="2" s="1"/>
  <c r="C250" i="2"/>
  <c r="D250" i="2" s="1"/>
  <c r="C394" i="2"/>
  <c r="D394" i="2" s="1"/>
  <c r="C506" i="2"/>
  <c r="C11" i="2"/>
  <c r="D11" i="2" s="1"/>
  <c r="C187" i="2"/>
  <c r="D187" i="2" s="1"/>
  <c r="C347" i="2"/>
  <c r="D347" i="2" s="1"/>
  <c r="C507" i="2"/>
  <c r="D507" i="2" s="1"/>
  <c r="C44" i="2"/>
  <c r="D44" i="2" s="1"/>
  <c r="C268" i="2"/>
  <c r="D268" i="2" s="1"/>
  <c r="C460" i="2"/>
  <c r="D460" i="2" s="1"/>
  <c r="C125" i="2"/>
  <c r="D125" i="2" s="1"/>
  <c r="C237" i="2"/>
  <c r="D237" i="2" s="1"/>
  <c r="C381" i="2"/>
  <c r="D381" i="2" s="1"/>
  <c r="C525" i="2"/>
  <c r="C62" i="2"/>
  <c r="D62" i="2" s="1"/>
  <c r="C302" i="2"/>
  <c r="D302" i="2" s="1"/>
  <c r="C494" i="2"/>
  <c r="D494" i="2" s="1"/>
  <c r="C111" i="2"/>
  <c r="D111" i="2" s="1"/>
  <c r="C223" i="2"/>
  <c r="C367" i="2"/>
  <c r="D367" i="2" s="1"/>
  <c r="C543" i="2"/>
  <c r="D543" i="2" s="1"/>
  <c r="C96" i="2"/>
  <c r="C208" i="2"/>
  <c r="D208" i="2" s="1"/>
  <c r="C384" i="2"/>
  <c r="D384" i="2" s="1"/>
  <c r="C512" i="2"/>
  <c r="D512" i="2" s="1"/>
  <c r="C4" i="2"/>
  <c r="D4" i="2" s="1"/>
  <c r="C20" i="2"/>
  <c r="D20" i="2" s="1"/>
  <c r="C36" i="2"/>
  <c r="D36" i="2" s="1"/>
  <c r="C52" i="2"/>
  <c r="D52" i="2" s="1"/>
  <c r="C68" i="2"/>
  <c r="C84" i="2"/>
  <c r="D84" i="2" s="1"/>
  <c r="C100" i="2"/>
  <c r="D100" i="2" s="1"/>
  <c r="C116" i="2"/>
  <c r="D116" i="2" s="1"/>
  <c r="C132" i="2"/>
  <c r="D132" i="2" s="1"/>
  <c r="C148" i="2"/>
  <c r="C164" i="2"/>
  <c r="C180" i="2"/>
  <c r="D180" i="2" s="1"/>
  <c r="C196" i="2"/>
  <c r="C212" i="2"/>
  <c r="D212" i="2" s="1"/>
  <c r="C228" i="2"/>
  <c r="D228" i="2" s="1"/>
  <c r="C244" i="2"/>
  <c r="D244" i="2" s="1"/>
  <c r="C260" i="2"/>
  <c r="D260" i="2" s="1"/>
  <c r="C276" i="2"/>
  <c r="D276" i="2" s="1"/>
  <c r="C292" i="2"/>
  <c r="D292" i="2" s="1"/>
  <c r="C308" i="2"/>
  <c r="D308" i="2" s="1"/>
  <c r="C324" i="2"/>
  <c r="C340" i="2"/>
  <c r="D340" i="2" s="1"/>
  <c r="C356" i="2"/>
  <c r="D356" i="2" s="1"/>
  <c r="C372" i="2"/>
  <c r="D372" i="2" s="1"/>
  <c r="C388" i="2"/>
  <c r="D388" i="2" s="1"/>
  <c r="C404" i="2"/>
  <c r="C420" i="2"/>
  <c r="C436" i="2"/>
  <c r="D436" i="2" s="1"/>
  <c r="C452" i="2"/>
  <c r="C468" i="2"/>
  <c r="D468" i="2" s="1"/>
  <c r="C484" i="2"/>
  <c r="D484" i="2" s="1"/>
  <c r="C500" i="2"/>
  <c r="D500" i="2" s="1"/>
  <c r="C516" i="2"/>
  <c r="D516" i="2" s="1"/>
  <c r="C532" i="2"/>
  <c r="D532" i="2" s="1"/>
  <c r="C548" i="2"/>
  <c r="D548" i="2" s="1"/>
  <c r="C405" i="2"/>
  <c r="D405" i="2" s="1"/>
  <c r="C469" i="2"/>
  <c r="C533" i="2"/>
  <c r="D533" i="2" s="1"/>
  <c r="C518" i="2"/>
  <c r="D518" i="2" s="1"/>
  <c r="C23" i="2"/>
  <c r="D23" i="2" s="1"/>
  <c r="C167" i="2"/>
  <c r="D167" i="2" s="1"/>
  <c r="C247" i="2"/>
  <c r="C375" i="2"/>
  <c r="C455" i="2"/>
  <c r="D455" i="2" s="1"/>
  <c r="C551" i="2"/>
  <c r="C136" i="2"/>
  <c r="C232" i="2"/>
  <c r="D232" i="2" s="1"/>
  <c r="C344" i="2"/>
  <c r="D344" i="2" s="1"/>
  <c r="C456" i="2"/>
  <c r="D456" i="2" s="1"/>
  <c r="C536" i="2"/>
  <c r="D536" i="2" s="1"/>
  <c r="C89" i="2"/>
  <c r="D89" i="2" s="1"/>
  <c r="C137" i="2"/>
  <c r="D137" i="2" s="1"/>
  <c r="C265" i="2"/>
  <c r="D265" i="2" s="1"/>
  <c r="C377" i="2"/>
  <c r="D377" i="2" s="1"/>
  <c r="C489" i="2"/>
  <c r="D489" i="2" s="1"/>
  <c r="C90" i="2"/>
  <c r="D90" i="2" s="1"/>
  <c r="C266" i="2"/>
  <c r="C410" i="2"/>
  <c r="C538" i="2"/>
  <c r="C59" i="2"/>
  <c r="D59" i="2" s="1"/>
  <c r="C155" i="2"/>
  <c r="C283" i="2"/>
  <c r="D283" i="2" s="1"/>
  <c r="C427" i="2"/>
  <c r="D427" i="2" s="1"/>
  <c r="C60" i="2"/>
  <c r="D60" i="2" s="1"/>
  <c r="C252" i="2"/>
  <c r="D252" i="2" s="1"/>
  <c r="C476" i="2"/>
  <c r="D476" i="2" s="1"/>
  <c r="C109" i="2"/>
  <c r="D109" i="2" s="1"/>
  <c r="C253" i="2"/>
  <c r="D253" i="2" s="1"/>
  <c r="C397" i="2"/>
  <c r="D397" i="2" s="1"/>
  <c r="C541" i="2"/>
  <c r="D541" i="2" s="1"/>
  <c r="C46" i="2"/>
  <c r="C286" i="2"/>
  <c r="D286" i="2" s="1"/>
  <c r="C478" i="2"/>
  <c r="D478" i="2" s="1"/>
  <c r="C127" i="2"/>
  <c r="C239" i="2"/>
  <c r="D239" i="2" s="1"/>
  <c r="C383" i="2"/>
  <c r="D383" i="2" s="1"/>
  <c r="C527" i="2"/>
  <c r="C80" i="2"/>
  <c r="C176" i="2"/>
  <c r="D176" i="2" s="1"/>
  <c r="C352" i="2"/>
  <c r="D352" i="2" s="1"/>
  <c r="C480" i="2"/>
  <c r="D480" i="2" s="1"/>
  <c r="C5" i="2"/>
  <c r="D5" i="2" s="1"/>
  <c r="C21" i="2"/>
  <c r="D21" i="2" s="1"/>
  <c r="C37" i="2"/>
  <c r="D37" i="2" s="1"/>
  <c r="C53" i="2"/>
  <c r="D53" i="2" s="1"/>
  <c r="C69" i="2"/>
  <c r="D69" i="2" s="1"/>
  <c r="C85" i="2"/>
  <c r="D85" i="2" s="1"/>
  <c r="C101" i="2"/>
  <c r="D101" i="2" s="1"/>
  <c r="C117" i="2"/>
  <c r="D117" i="2" s="1"/>
  <c r="C133" i="2"/>
  <c r="C149" i="2"/>
  <c r="C165" i="2"/>
  <c r="D165" i="2" s="1"/>
  <c r="C181" i="2"/>
  <c r="D181" i="2" s="1"/>
  <c r="C197" i="2"/>
  <c r="D197" i="2" s="1"/>
  <c r="C213" i="2"/>
  <c r="D213" i="2" s="1"/>
  <c r="C229" i="2"/>
  <c r="D229" i="2" s="1"/>
  <c r="C245" i="2"/>
  <c r="D245" i="2" s="1"/>
  <c r="C261" i="2"/>
  <c r="D261" i="2" s="1"/>
  <c r="C277" i="2"/>
  <c r="D277" i="2" s="1"/>
  <c r="C293" i="2"/>
  <c r="D293" i="2" s="1"/>
  <c r="C309" i="2"/>
  <c r="D309" i="2" s="1"/>
  <c r="C325" i="2"/>
  <c r="D325" i="2" s="1"/>
  <c r="C341" i="2"/>
  <c r="C357" i="2"/>
  <c r="D357" i="2" s="1"/>
  <c r="C389" i="2"/>
  <c r="D389" i="2" s="1"/>
  <c r="C437" i="2"/>
  <c r="C501" i="2"/>
  <c r="C55" i="2"/>
  <c r="D55" i="2" s="1"/>
  <c r="C183" i="2"/>
  <c r="D183" i="2" s="1"/>
  <c r="C279" i="2"/>
  <c r="D279" i="2" s="1"/>
  <c r="C391" i="2"/>
  <c r="D391" i="2" s="1"/>
  <c r="C471" i="2"/>
  <c r="D471" i="2" s="1"/>
  <c r="C72" i="2"/>
  <c r="D72" i="2" s="1"/>
  <c r="C312" i="2"/>
  <c r="D312" i="2" s="1"/>
  <c r="C488" i="2"/>
  <c r="D488" i="2" s="1"/>
  <c r="C9" i="2"/>
  <c r="D9" i="2" s="1"/>
  <c r="C217" i="2"/>
  <c r="C425" i="2"/>
  <c r="D425" i="2" s="1"/>
  <c r="C186" i="2"/>
  <c r="D186" i="2" s="1"/>
  <c r="C362" i="2"/>
  <c r="D362" i="2" s="1"/>
  <c r="C474" i="2"/>
  <c r="D474" i="2" s="1"/>
  <c r="C27" i="2"/>
  <c r="C251" i="2"/>
  <c r="D251" i="2" s="1"/>
  <c r="C395" i="2"/>
  <c r="D395" i="2" s="1"/>
  <c r="C92" i="2"/>
  <c r="C172" i="2"/>
  <c r="D172" i="2" s="1"/>
  <c r="C348" i="2"/>
  <c r="D348" i="2" s="1"/>
  <c r="C492" i="2"/>
  <c r="D492" i="2" s="1"/>
  <c r="C45" i="2"/>
  <c r="D45" i="2" s="1"/>
  <c r="C173" i="2"/>
  <c r="D173" i="2" s="1"/>
  <c r="C349" i="2"/>
  <c r="D349" i="2" s="1"/>
  <c r="C493" i="2"/>
  <c r="D493" i="2" s="1"/>
  <c r="C126" i="2"/>
  <c r="C174" i="2"/>
  <c r="D174" i="2" s="1"/>
  <c r="C270" i="2"/>
  <c r="C382" i="2"/>
  <c r="D382" i="2" s="1"/>
  <c r="C542" i="2"/>
  <c r="D542" i="2" s="1"/>
  <c r="C95" i="2"/>
  <c r="C271" i="2"/>
  <c r="D271" i="2" s="1"/>
  <c r="C431" i="2"/>
  <c r="D431" i="2" s="1"/>
  <c r="C32" i="2"/>
  <c r="D32" i="2" s="1"/>
  <c r="C320" i="2"/>
  <c r="D320" i="2" s="1"/>
  <c r="C544" i="2"/>
  <c r="D544" i="2" s="1"/>
  <c r="C6" i="2"/>
  <c r="D6" i="2" s="1"/>
  <c r="C22" i="2"/>
  <c r="D22" i="2" s="1"/>
  <c r="C38" i="2"/>
  <c r="D38" i="2" s="1"/>
  <c r="C54" i="2"/>
  <c r="D54" i="2" s="1"/>
  <c r="C70" i="2"/>
  <c r="D70" i="2" s="1"/>
  <c r="C86" i="2"/>
  <c r="C102" i="2"/>
  <c r="D102" i="2" s="1"/>
  <c r="C118" i="2"/>
  <c r="C134" i="2"/>
  <c r="D134" i="2" s="1"/>
  <c r="C150" i="2"/>
  <c r="D150" i="2" s="1"/>
  <c r="C166" i="2"/>
  <c r="C182" i="2"/>
  <c r="C198" i="2"/>
  <c r="D198" i="2" s="1"/>
  <c r="C214" i="2"/>
  <c r="C230" i="2"/>
  <c r="D230" i="2" s="1"/>
  <c r="C246" i="2"/>
  <c r="D246" i="2" s="1"/>
  <c r="C262" i="2"/>
  <c r="D262" i="2" s="1"/>
  <c r="C278" i="2"/>
  <c r="D278" i="2" s="1"/>
  <c r="C294" i="2"/>
  <c r="D294" i="2" s="1"/>
  <c r="C310" i="2"/>
  <c r="D310" i="2" s="1"/>
  <c r="C326" i="2"/>
  <c r="D326" i="2" s="1"/>
  <c r="C342" i="2"/>
  <c r="C358" i="2"/>
  <c r="D358" i="2" s="1"/>
  <c r="C374" i="2"/>
  <c r="D374" i="2" s="1"/>
  <c r="C390" i="2"/>
  <c r="D390" i="2" s="1"/>
  <c r="C406" i="2"/>
  <c r="D406" i="2" s="1"/>
  <c r="C422" i="2"/>
  <c r="C438" i="2"/>
  <c r="C454" i="2"/>
  <c r="D454" i="2" s="1"/>
  <c r="C470" i="2"/>
  <c r="C486" i="2"/>
  <c r="D486" i="2" s="1"/>
  <c r="C550" i="2"/>
  <c r="D550" i="2" s="1"/>
  <c r="C87" i="2"/>
  <c r="D87" i="2" s="1"/>
  <c r="C135" i="2"/>
  <c r="D135" i="2" s="1"/>
  <c r="C215" i="2"/>
  <c r="D215" i="2" s="1"/>
  <c r="C327" i="2"/>
  <c r="C407" i="2"/>
  <c r="D407" i="2" s="1"/>
  <c r="C503" i="2"/>
  <c r="C88" i="2"/>
  <c r="D88" i="2" s="1"/>
  <c r="C216" i="2"/>
  <c r="D216" i="2" s="1"/>
  <c r="C328" i="2"/>
  <c r="D328" i="2" s="1"/>
  <c r="C440" i="2"/>
  <c r="D440" i="2" s="1"/>
  <c r="C25" i="2"/>
  <c r="C201" i="2"/>
  <c r="D201" i="2" s="1"/>
  <c r="C441" i="2"/>
  <c r="D441" i="2" s="1"/>
  <c r="C202" i="2"/>
  <c r="C346" i="2"/>
  <c r="D346" i="2" s="1"/>
  <c r="C490" i="2"/>
  <c r="D490" i="2" s="1"/>
  <c r="C75" i="2"/>
  <c r="D75" i="2" s="1"/>
  <c r="C267" i="2"/>
  <c r="D267" i="2" s="1"/>
  <c r="C411" i="2"/>
  <c r="D411" i="2" s="1"/>
  <c r="C76" i="2"/>
  <c r="D76" i="2" s="1"/>
  <c r="C220" i="2"/>
  <c r="D220" i="2" s="1"/>
  <c r="C380" i="2"/>
  <c r="C524" i="2"/>
  <c r="D524" i="2" s="1"/>
  <c r="C61" i="2"/>
  <c r="D61" i="2" s="1"/>
  <c r="C189" i="2"/>
  <c r="D189" i="2" s="1"/>
  <c r="C333" i="2"/>
  <c r="D333" i="2" s="1"/>
  <c r="C477" i="2"/>
  <c r="C110" i="2"/>
  <c r="D110" i="2" s="1"/>
  <c r="C254" i="2"/>
  <c r="D254" i="2" s="1"/>
  <c r="C398" i="2"/>
  <c r="D398" i="2" s="1"/>
  <c r="C558" i="2"/>
  <c r="C63" i="2"/>
  <c r="D63" i="2" s="1"/>
  <c r="C287" i="2"/>
  <c r="D287" i="2" s="1"/>
  <c r="C447" i="2"/>
  <c r="D447" i="2" s="1"/>
  <c r="C48" i="2"/>
  <c r="D48" i="2" s="1"/>
  <c r="C304" i="2"/>
  <c r="D304" i="2" s="1"/>
  <c r="C528" i="2"/>
  <c r="D528" i="2" s="1"/>
  <c r="C7" i="2"/>
  <c r="C103" i="2"/>
  <c r="D103" i="2" s="1"/>
  <c r="C295" i="2"/>
  <c r="D295" i="2" s="1"/>
  <c r="C392" i="2"/>
  <c r="D392" i="2" s="1"/>
  <c r="C105" i="2"/>
  <c r="D105" i="2" s="1"/>
  <c r="C185" i="2"/>
  <c r="C297" i="2"/>
  <c r="D297" i="2" s="1"/>
  <c r="C393" i="2"/>
  <c r="D393" i="2" s="1"/>
  <c r="C521" i="2"/>
  <c r="C154" i="2"/>
  <c r="D154" i="2" s="1"/>
  <c r="C378" i="2"/>
  <c r="D378" i="2" s="1"/>
  <c r="C554" i="2"/>
  <c r="C107" i="2"/>
  <c r="D107" i="2" s="1"/>
  <c r="C203" i="2"/>
  <c r="D203" i="2" s="1"/>
  <c r="C331" i="2"/>
  <c r="D331" i="2" s="1"/>
  <c r="C459" i="2"/>
  <c r="D459" i="2" s="1"/>
  <c r="C12" i="2"/>
  <c r="D12" i="2" s="1"/>
  <c r="C316" i="2"/>
  <c r="D316" i="2" s="1"/>
  <c r="C556" i="2"/>
  <c r="C157" i="2"/>
  <c r="D157" i="2" s="1"/>
  <c r="C301" i="2"/>
  <c r="D301" i="2" s="1"/>
  <c r="C429" i="2"/>
  <c r="C14" i="2"/>
  <c r="D14" i="2" s="1"/>
  <c r="C206" i="2"/>
  <c r="D206" i="2" s="1"/>
  <c r="C430" i="2"/>
  <c r="C47" i="2"/>
  <c r="D47" i="2" s="1"/>
  <c r="C255" i="2"/>
  <c r="D255" i="2" s="1"/>
  <c r="C495" i="2"/>
  <c r="D495" i="2" s="1"/>
  <c r="C160" i="2"/>
  <c r="D160" i="2" s="1"/>
  <c r="C240" i="2"/>
  <c r="D240" i="2" s="1"/>
  <c r="C368" i="2"/>
  <c r="D368" i="2" s="1"/>
  <c r="C464" i="2"/>
  <c r="D464" i="2" s="1"/>
  <c r="C8" i="2"/>
  <c r="C24" i="2"/>
  <c r="D24" i="2" s="1"/>
  <c r="C40" i="2"/>
  <c r="D40" i="2" s="1"/>
  <c r="C56" i="2"/>
  <c r="D56" i="2" s="1"/>
  <c r="C168" i="2"/>
  <c r="D168" i="2" s="1"/>
  <c r="C184" i="2"/>
  <c r="C200" i="2"/>
  <c r="D200" i="2" s="1"/>
  <c r="C280" i="2"/>
  <c r="D280" i="2" s="1"/>
  <c r="C408" i="2"/>
  <c r="D408" i="2" s="1"/>
  <c r="C121" i="2"/>
  <c r="D121" i="2" s="1"/>
  <c r="C249" i="2"/>
  <c r="D249" i="2" s="1"/>
  <c r="C345" i="2"/>
  <c r="D345" i="2" s="1"/>
  <c r="C473" i="2"/>
  <c r="D473" i="2" s="1"/>
  <c r="C74" i="2"/>
  <c r="D74" i="2" s="1"/>
  <c r="C330" i="2"/>
  <c r="D330" i="2" s="1"/>
  <c r="C522" i="2"/>
  <c r="D522" i="2" s="1"/>
  <c r="C123" i="2"/>
  <c r="C219" i="2"/>
  <c r="D219" i="2" s="1"/>
  <c r="C315" i="2"/>
  <c r="C443" i="2"/>
  <c r="D443" i="2" s="1"/>
  <c r="C555" i="2"/>
  <c r="C28" i="2"/>
  <c r="C236" i="2"/>
  <c r="C412" i="2"/>
  <c r="D412" i="2" s="1"/>
  <c r="C93" i="2"/>
  <c r="C317" i="2"/>
  <c r="D317" i="2" s="1"/>
  <c r="C461" i="2"/>
  <c r="D461" i="2" s="1"/>
  <c r="C30" i="2"/>
  <c r="D30" i="2" s="1"/>
  <c r="C190" i="2"/>
  <c r="D190" i="2" s="1"/>
  <c r="C414" i="2"/>
  <c r="D414" i="2" s="1"/>
  <c r="C79" i="2"/>
  <c r="D79" i="2" s="1"/>
  <c r="C207" i="2"/>
  <c r="D207" i="2" s="1"/>
  <c r="C335" i="2"/>
  <c r="C479" i="2"/>
  <c r="D479" i="2" s="1"/>
  <c r="C64" i="2"/>
  <c r="D64" i="2" s="1"/>
  <c r="C224" i="2"/>
  <c r="D224" i="2" s="1"/>
  <c r="C416" i="2"/>
  <c r="D416" i="2" s="1"/>
  <c r="C329" i="2"/>
  <c r="C363" i="2"/>
  <c r="D363" i="2" s="1"/>
  <c r="C539" i="2"/>
  <c r="D539" i="2" s="1"/>
  <c r="C140" i="2"/>
  <c r="D140" i="2" s="1"/>
  <c r="C300" i="2"/>
  <c r="D300" i="2" s="1"/>
  <c r="C428" i="2"/>
  <c r="D428" i="2" s="1"/>
  <c r="C13" i="2"/>
  <c r="D13" i="2" s="1"/>
  <c r="C285" i="2"/>
  <c r="D285" i="2" s="1"/>
  <c r="C509" i="2"/>
  <c r="D509" i="2" s="1"/>
  <c r="C158" i="2"/>
  <c r="D158" i="2" s="1"/>
  <c r="C238" i="2"/>
  <c r="D238" i="2" s="1"/>
  <c r="C366" i="2"/>
  <c r="D366" i="2" s="1"/>
  <c r="C446" i="2"/>
  <c r="D446" i="2" s="1"/>
  <c r="C15" i="2"/>
  <c r="D15" i="2" s="1"/>
  <c r="C175" i="2"/>
  <c r="D175" i="2" s="1"/>
  <c r="C399" i="2"/>
  <c r="D399" i="2" s="1"/>
  <c r="C128" i="2"/>
  <c r="C256" i="2"/>
  <c r="D256" i="2" s="1"/>
  <c r="C400" i="2"/>
  <c r="D400" i="2" s="1"/>
  <c r="C560" i="2"/>
  <c r="C10" i="2"/>
  <c r="D10" i="2" s="1"/>
  <c r="C26" i="2"/>
  <c r="D26" i="2" s="1"/>
  <c r="C42" i="2"/>
  <c r="D42" i="2" s="1"/>
  <c r="C58" i="2"/>
  <c r="D58" i="2" s="1"/>
  <c r="C106" i="2"/>
  <c r="D106" i="2" s="1"/>
  <c r="C218" i="2"/>
  <c r="D218" i="2" s="1"/>
  <c r="C234" i="2"/>
  <c r="D234" i="2" s="1"/>
  <c r="C314" i="2"/>
  <c r="C442" i="2"/>
  <c r="D442" i="2" s="1"/>
  <c r="C139" i="2"/>
  <c r="D139" i="2" s="1"/>
  <c r="C491" i="2"/>
  <c r="D491" i="2" s="1"/>
  <c r="C156" i="2"/>
  <c r="D156" i="2" s="1"/>
  <c r="C284" i="2"/>
  <c r="C396" i="2"/>
  <c r="D396" i="2" s="1"/>
  <c r="C540" i="2"/>
  <c r="D540" i="2" s="1"/>
  <c r="C77" i="2"/>
  <c r="C269" i="2"/>
  <c r="D269" i="2" s="1"/>
  <c r="C445" i="2"/>
  <c r="D445" i="2" s="1"/>
  <c r="C142" i="2"/>
  <c r="D142" i="2" s="1"/>
  <c r="C222" i="2"/>
  <c r="D222" i="2" s="1"/>
  <c r="C350" i="2"/>
  <c r="D350" i="2" s="1"/>
  <c r="C462" i="2"/>
  <c r="D462" i="2" s="1"/>
  <c r="C31" i="2"/>
  <c r="D31" i="2" s="1"/>
  <c r="C191" i="2"/>
  <c r="C351" i="2"/>
  <c r="D351" i="2" s="1"/>
  <c r="C511" i="2"/>
  <c r="D511" i="2" s="1"/>
  <c r="C144" i="2"/>
  <c r="D144" i="2" s="1"/>
  <c r="C192" i="2"/>
  <c r="D192" i="2" s="1"/>
  <c r="C336" i="2"/>
  <c r="C448" i="2"/>
  <c r="E37" i="3"/>
  <c r="E53" i="3"/>
  <c r="E85" i="3"/>
  <c r="E421" i="3"/>
  <c r="E565" i="3"/>
  <c r="E39" i="3"/>
  <c r="E87" i="3"/>
  <c r="E215" i="3"/>
  <c r="E391" i="3"/>
  <c r="E599" i="3"/>
  <c r="E631" i="3"/>
  <c r="E168" i="3"/>
  <c r="E200" i="3"/>
  <c r="E360" i="3"/>
  <c r="E118" i="3"/>
  <c r="E214" i="3"/>
  <c r="E342" i="3"/>
  <c r="E374" i="3"/>
  <c r="E470" i="3"/>
  <c r="E486" i="3"/>
  <c r="E518" i="3"/>
  <c r="E598" i="3"/>
  <c r="E646" i="3"/>
  <c r="E295" i="3"/>
  <c r="E551" i="3"/>
  <c r="E583" i="3"/>
  <c r="E663" i="3"/>
  <c r="E408" i="3"/>
  <c r="E89" i="3"/>
  <c r="E321" i="3"/>
  <c r="E590" i="3"/>
  <c r="E628" i="3"/>
  <c r="E650" i="3"/>
  <c r="E140" i="3"/>
  <c r="E542" i="3"/>
  <c r="E659" i="3"/>
  <c r="E399" i="3"/>
  <c r="E80" i="3"/>
  <c r="E427" i="3"/>
  <c r="E607" i="3"/>
  <c r="E84" i="3"/>
  <c r="E90" i="3"/>
  <c r="E238" i="3"/>
  <c r="E258" i="3"/>
  <c r="E282" i="3"/>
  <c r="E473" i="3"/>
  <c r="E610" i="3"/>
  <c r="E632" i="3"/>
  <c r="E31" i="3"/>
  <c r="E162" i="3"/>
  <c r="E206" i="3"/>
  <c r="E603" i="3"/>
  <c r="E336" i="3"/>
  <c r="E211" i="3"/>
  <c r="E589" i="3"/>
  <c r="E27" i="3"/>
  <c r="E617" i="3"/>
  <c r="E539" i="3"/>
  <c r="E210" i="3"/>
  <c r="E465" i="3"/>
  <c r="E510" i="3"/>
  <c r="E4" i="3"/>
  <c r="E112" i="3"/>
  <c r="E176" i="3"/>
  <c r="E284" i="3"/>
  <c r="E324" i="3"/>
  <c r="E348" i="3"/>
  <c r="E514" i="3"/>
  <c r="E653" i="3"/>
  <c r="E241" i="3"/>
  <c r="E223" i="3"/>
  <c r="E307" i="3"/>
  <c r="E577" i="3"/>
  <c r="E160" i="3"/>
  <c r="E620" i="3"/>
  <c r="E378" i="3"/>
  <c r="E100" i="3"/>
  <c r="E463" i="3"/>
  <c r="E362" i="3"/>
  <c r="E403" i="3"/>
  <c r="E29" i="3"/>
  <c r="E73" i="3"/>
  <c r="E285" i="3"/>
  <c r="E496" i="3"/>
  <c r="E436" i="3"/>
  <c r="E209" i="3"/>
  <c r="E235" i="3"/>
  <c r="E588" i="3"/>
  <c r="E192" i="3"/>
  <c r="E266" i="3"/>
  <c r="E286" i="3"/>
  <c r="E394" i="3"/>
  <c r="E414" i="3"/>
  <c r="E636" i="3"/>
  <c r="E288" i="3"/>
  <c r="E78" i="3"/>
  <c r="E126" i="3"/>
  <c r="E64" i="3"/>
  <c r="E14" i="3"/>
  <c r="E418" i="3"/>
  <c r="E127" i="3"/>
  <c r="E275" i="3"/>
  <c r="E466" i="3"/>
  <c r="E12" i="3"/>
  <c r="E402" i="3"/>
  <c r="E63" i="3"/>
  <c r="E59" i="3"/>
  <c r="E356" i="3"/>
  <c r="E62" i="3"/>
  <c r="E15" i="3"/>
  <c r="E163" i="3"/>
  <c r="E292" i="3"/>
  <c r="E41" i="3"/>
  <c r="D241" i="2"/>
  <c r="D34" i="2"/>
  <c r="D114" i="2"/>
  <c r="D370" i="2"/>
  <c r="D67" i="2"/>
  <c r="D147" i="2"/>
  <c r="D403" i="2"/>
  <c r="D341" i="2"/>
  <c r="D503" i="2"/>
  <c r="D184" i="2"/>
  <c r="D453" i="2"/>
  <c r="D315" i="2"/>
  <c r="D93" i="2"/>
  <c r="D166" i="2"/>
  <c r="D422" i="2"/>
  <c r="D71" i="2"/>
  <c r="D410" i="2"/>
  <c r="D506" i="2"/>
  <c r="D185" i="2"/>
  <c r="D379" i="2"/>
  <c r="D143" i="2"/>
  <c r="D448" i="2"/>
  <c r="D510" i="2"/>
  <c r="D128" i="2"/>
  <c r="I17" i="3"/>
  <c r="I33" i="3"/>
  <c r="I49" i="3"/>
  <c r="I65" i="3"/>
  <c r="I81" i="3"/>
  <c r="I97" i="3"/>
  <c r="I113" i="3"/>
  <c r="I129" i="3"/>
  <c r="I145" i="3"/>
  <c r="I161" i="3"/>
  <c r="I177" i="3"/>
  <c r="I193" i="3"/>
  <c r="I209" i="3"/>
  <c r="I225" i="3"/>
  <c r="I241" i="3"/>
  <c r="I257" i="3"/>
  <c r="I273" i="3"/>
  <c r="I289" i="3"/>
  <c r="I305" i="3"/>
  <c r="I321" i="3"/>
  <c r="I337" i="3"/>
  <c r="I353" i="3"/>
  <c r="I369" i="3"/>
  <c r="I385" i="3"/>
  <c r="I401" i="3"/>
  <c r="I417" i="3"/>
  <c r="I433" i="3"/>
  <c r="I449" i="3"/>
  <c r="I465" i="3"/>
  <c r="I481" i="3"/>
  <c r="I497" i="3"/>
  <c r="I513" i="3"/>
  <c r="I529" i="3"/>
  <c r="I545" i="3"/>
  <c r="I561" i="3"/>
  <c r="I577" i="3"/>
  <c r="I593" i="3"/>
  <c r="I609" i="3"/>
  <c r="I625" i="3"/>
  <c r="I641" i="3"/>
  <c r="I657" i="3"/>
  <c r="I673" i="3"/>
  <c r="I310" i="3"/>
  <c r="I454" i="3"/>
  <c r="I550" i="3"/>
  <c r="I630" i="3"/>
  <c r="I263" i="3"/>
  <c r="I359" i="3"/>
  <c r="I439" i="3"/>
  <c r="I519" i="3"/>
  <c r="I615" i="3"/>
  <c r="I440" i="3"/>
  <c r="I552" i="3"/>
  <c r="I10" i="3"/>
  <c r="I250" i="3"/>
  <c r="I410" i="3"/>
  <c r="I538" i="3"/>
  <c r="I59" i="3"/>
  <c r="I219" i="3"/>
  <c r="I347" i="3"/>
  <c r="I443" i="3"/>
  <c r="I571" i="3"/>
  <c r="I667" i="3"/>
  <c r="I92" i="3"/>
  <c r="I188" i="3"/>
  <c r="I268" i="3"/>
  <c r="I380" i="3"/>
  <c r="I508" i="3"/>
  <c r="I604" i="3"/>
  <c r="I61" i="3"/>
  <c r="I221" i="3"/>
  <c r="I365" i="3"/>
  <c r="I557" i="3"/>
  <c r="I78" i="3"/>
  <c r="I222" i="3"/>
  <c r="I318" i="3"/>
  <c r="I2" i="3"/>
  <c r="I18" i="3"/>
  <c r="I34" i="3"/>
  <c r="I50" i="3"/>
  <c r="I66" i="3"/>
  <c r="I82" i="3"/>
  <c r="I98" i="3"/>
  <c r="I114" i="3"/>
  <c r="I130" i="3"/>
  <c r="I146" i="3"/>
  <c r="I162" i="3"/>
  <c r="I178" i="3"/>
  <c r="I194" i="3"/>
  <c r="I210" i="3"/>
  <c r="I226" i="3"/>
  <c r="I242" i="3"/>
  <c r="I258" i="3"/>
  <c r="I274" i="3"/>
  <c r="I290" i="3"/>
  <c r="I306" i="3"/>
  <c r="I322" i="3"/>
  <c r="I338" i="3"/>
  <c r="I354" i="3"/>
  <c r="I370" i="3"/>
  <c r="I386" i="3"/>
  <c r="I402" i="3"/>
  <c r="I418" i="3"/>
  <c r="I434" i="3"/>
  <c r="I450" i="3"/>
  <c r="I466" i="3"/>
  <c r="I482" i="3"/>
  <c r="I498" i="3"/>
  <c r="I514" i="3"/>
  <c r="I530" i="3"/>
  <c r="I546" i="3"/>
  <c r="I562" i="3"/>
  <c r="I578" i="3"/>
  <c r="I594" i="3"/>
  <c r="I610" i="3"/>
  <c r="I626" i="3"/>
  <c r="I642" i="3"/>
  <c r="I658" i="3"/>
  <c r="I674" i="3"/>
  <c r="I278" i="3"/>
  <c r="I374" i="3"/>
  <c r="I438" i="3"/>
  <c r="I534" i="3"/>
  <c r="I598" i="3"/>
  <c r="I678" i="3"/>
  <c r="I215" i="3"/>
  <c r="I375" i="3"/>
  <c r="I503" i="3"/>
  <c r="I599" i="3"/>
  <c r="I679" i="3"/>
  <c r="I504" i="3"/>
  <c r="I600" i="3"/>
  <c r="I601" i="3"/>
  <c r="I58" i="3"/>
  <c r="I186" i="3"/>
  <c r="I314" i="3"/>
  <c r="I442" i="3"/>
  <c r="I554" i="3"/>
  <c r="I91" i="3"/>
  <c r="I235" i="3"/>
  <c r="I331" i="3"/>
  <c r="I459" i="3"/>
  <c r="I587" i="3"/>
  <c r="I12" i="3"/>
  <c r="I172" i="3"/>
  <c r="I332" i="3"/>
  <c r="I492" i="3"/>
  <c r="I620" i="3"/>
  <c r="I77" i="3"/>
  <c r="I237" i="3"/>
  <c r="I349" i="3"/>
  <c r="I541" i="3"/>
  <c r="I94" i="3"/>
  <c r="I206" i="3"/>
  <c r="I286" i="3"/>
  <c r="I3" i="3"/>
  <c r="I19" i="3"/>
  <c r="I35" i="3"/>
  <c r="I51" i="3"/>
  <c r="I67" i="3"/>
  <c r="I83" i="3"/>
  <c r="I99" i="3"/>
  <c r="I115" i="3"/>
  <c r="I131" i="3"/>
  <c r="I147" i="3"/>
  <c r="I163" i="3"/>
  <c r="I179" i="3"/>
  <c r="I195" i="3"/>
  <c r="I211" i="3"/>
  <c r="I227" i="3"/>
  <c r="I243" i="3"/>
  <c r="I259" i="3"/>
  <c r="I275" i="3"/>
  <c r="I291" i="3"/>
  <c r="I307" i="3"/>
  <c r="I323" i="3"/>
  <c r="I339" i="3"/>
  <c r="I355" i="3"/>
  <c r="I371" i="3"/>
  <c r="I387" i="3"/>
  <c r="I403" i="3"/>
  <c r="I419" i="3"/>
  <c r="I435" i="3"/>
  <c r="I451" i="3"/>
  <c r="I467" i="3"/>
  <c r="I483" i="3"/>
  <c r="I499" i="3"/>
  <c r="I515" i="3"/>
  <c r="I531" i="3"/>
  <c r="I547" i="3"/>
  <c r="I563" i="3"/>
  <c r="I579" i="3"/>
  <c r="I595" i="3"/>
  <c r="I611" i="3"/>
  <c r="I627" i="3"/>
  <c r="I643" i="3"/>
  <c r="I659" i="3"/>
  <c r="I675" i="3"/>
  <c r="I230" i="3"/>
  <c r="I358" i="3"/>
  <c r="I422" i="3"/>
  <c r="I502" i="3"/>
  <c r="I566" i="3"/>
  <c r="I614" i="3"/>
  <c r="I199" i="3"/>
  <c r="I311" i="3"/>
  <c r="I391" i="3"/>
  <c r="I471" i="3"/>
  <c r="I567" i="3"/>
  <c r="I663" i="3"/>
  <c r="I488" i="3"/>
  <c r="I584" i="3"/>
  <c r="I680" i="3"/>
  <c r="I633" i="3"/>
  <c r="I74" i="3"/>
  <c r="I170" i="3"/>
  <c r="I266" i="3"/>
  <c r="I378" i="3"/>
  <c r="I506" i="3"/>
  <c r="I650" i="3"/>
  <c r="I75" i="3"/>
  <c r="I171" i="3"/>
  <c r="I251" i="3"/>
  <c r="I299" i="3"/>
  <c r="I395" i="3"/>
  <c r="I539" i="3"/>
  <c r="I635" i="3"/>
  <c r="I44" i="3"/>
  <c r="I220" i="3"/>
  <c r="I300" i="3"/>
  <c r="I412" i="3"/>
  <c r="I556" i="3"/>
  <c r="I668" i="3"/>
  <c r="I45" i="3"/>
  <c r="I189" i="3"/>
  <c r="I285" i="3"/>
  <c r="I397" i="3"/>
  <c r="I477" i="3"/>
  <c r="I589" i="3"/>
  <c r="I14" i="3"/>
  <c r="I4" i="3"/>
  <c r="I20" i="3"/>
  <c r="I36" i="3"/>
  <c r="I52" i="3"/>
  <c r="I68" i="3"/>
  <c r="I84" i="3"/>
  <c r="I100" i="3"/>
  <c r="I116" i="3"/>
  <c r="I132" i="3"/>
  <c r="I148" i="3"/>
  <c r="I164" i="3"/>
  <c r="I180" i="3"/>
  <c r="I196" i="3"/>
  <c r="I212" i="3"/>
  <c r="I228" i="3"/>
  <c r="I244" i="3"/>
  <c r="I260" i="3"/>
  <c r="I276" i="3"/>
  <c r="I292" i="3"/>
  <c r="I308" i="3"/>
  <c r="I324" i="3"/>
  <c r="I340" i="3"/>
  <c r="I356" i="3"/>
  <c r="I372" i="3"/>
  <c r="I388" i="3"/>
  <c r="I404" i="3"/>
  <c r="I420" i="3"/>
  <c r="I436" i="3"/>
  <c r="I452" i="3"/>
  <c r="I468" i="3"/>
  <c r="I484" i="3"/>
  <c r="I500" i="3"/>
  <c r="I516" i="3"/>
  <c r="I532" i="3"/>
  <c r="I548" i="3"/>
  <c r="I564" i="3"/>
  <c r="I580" i="3"/>
  <c r="I596" i="3"/>
  <c r="I612" i="3"/>
  <c r="I628" i="3"/>
  <c r="I644" i="3"/>
  <c r="I660" i="3"/>
  <c r="I676" i="3"/>
  <c r="I246" i="3"/>
  <c r="I342" i="3"/>
  <c r="I406" i="3"/>
  <c r="I486" i="3"/>
  <c r="I582" i="3"/>
  <c r="I662" i="3"/>
  <c r="I231" i="3"/>
  <c r="I343" i="3"/>
  <c r="I407" i="3"/>
  <c r="I487" i="3"/>
  <c r="I551" i="3"/>
  <c r="I647" i="3"/>
  <c r="I472" i="3"/>
  <c r="I568" i="3"/>
  <c r="I664" i="3"/>
  <c r="I665" i="3"/>
  <c r="I26" i="3"/>
  <c r="I202" i="3"/>
  <c r="I330" i="3"/>
  <c r="I458" i="3"/>
  <c r="I602" i="3"/>
  <c r="I43" i="3"/>
  <c r="I203" i="3"/>
  <c r="I315" i="3"/>
  <c r="I411" i="3"/>
  <c r="I555" i="3"/>
  <c r="I651" i="3"/>
  <c r="I60" i="3"/>
  <c r="I204" i="3"/>
  <c r="I316" i="3"/>
  <c r="I444" i="3"/>
  <c r="I540" i="3"/>
  <c r="I636" i="3"/>
  <c r="I29" i="3"/>
  <c r="I173" i="3"/>
  <c r="I269" i="3"/>
  <c r="I381" i="3"/>
  <c r="I493" i="3"/>
  <c r="I605" i="3"/>
  <c r="I669" i="3"/>
  <c r="I62" i="3"/>
  <c r="I158" i="3"/>
  <c r="I5" i="3"/>
  <c r="I21" i="3"/>
  <c r="I37" i="3"/>
  <c r="I53" i="3"/>
  <c r="I69" i="3"/>
  <c r="I85" i="3"/>
  <c r="I101" i="3"/>
  <c r="I117" i="3"/>
  <c r="I133" i="3"/>
  <c r="I149" i="3"/>
  <c r="I165" i="3"/>
  <c r="I181" i="3"/>
  <c r="I197" i="3"/>
  <c r="I213" i="3"/>
  <c r="I229" i="3"/>
  <c r="I245" i="3"/>
  <c r="I261" i="3"/>
  <c r="I277" i="3"/>
  <c r="I293" i="3"/>
  <c r="I309" i="3"/>
  <c r="I325" i="3"/>
  <c r="I341" i="3"/>
  <c r="I357" i="3"/>
  <c r="I373" i="3"/>
  <c r="I389" i="3"/>
  <c r="I405" i="3"/>
  <c r="I421" i="3"/>
  <c r="I437" i="3"/>
  <c r="I453" i="3"/>
  <c r="I469" i="3"/>
  <c r="I485" i="3"/>
  <c r="I501" i="3"/>
  <c r="I517" i="3"/>
  <c r="I533" i="3"/>
  <c r="I549" i="3"/>
  <c r="I565" i="3"/>
  <c r="I581" i="3"/>
  <c r="I597" i="3"/>
  <c r="I613" i="3"/>
  <c r="I629" i="3"/>
  <c r="I645" i="3"/>
  <c r="I661" i="3"/>
  <c r="I677" i="3"/>
  <c r="I262" i="3"/>
  <c r="I470" i="3"/>
  <c r="I646" i="3"/>
  <c r="I279" i="3"/>
  <c r="I455" i="3"/>
  <c r="I583" i="3"/>
  <c r="I536" i="3"/>
  <c r="I648" i="3"/>
  <c r="I90" i="3"/>
  <c r="I362" i="3"/>
  <c r="I618" i="3"/>
  <c r="I123" i="3"/>
  <c r="I475" i="3"/>
  <c r="I124" i="3"/>
  <c r="I428" i="3"/>
  <c r="I125" i="3"/>
  <c r="I317" i="3"/>
  <c r="I509" i="3"/>
  <c r="I6" i="3"/>
  <c r="I22" i="3"/>
  <c r="I38" i="3"/>
  <c r="I54" i="3"/>
  <c r="I70" i="3"/>
  <c r="I86" i="3"/>
  <c r="I102" i="3"/>
  <c r="I118" i="3"/>
  <c r="I134" i="3"/>
  <c r="I150" i="3"/>
  <c r="I166" i="3"/>
  <c r="I182" i="3"/>
  <c r="I198" i="3"/>
  <c r="I214" i="3"/>
  <c r="I294" i="3"/>
  <c r="I326" i="3"/>
  <c r="I390" i="3"/>
  <c r="I518" i="3"/>
  <c r="I327" i="3"/>
  <c r="I535" i="3"/>
  <c r="I616" i="3"/>
  <c r="I649" i="3"/>
  <c r="I106" i="3"/>
  <c r="I282" i="3"/>
  <c r="I426" i="3"/>
  <c r="I634" i="3"/>
  <c r="I107" i="3"/>
  <c r="I427" i="3"/>
  <c r="I108" i="3"/>
  <c r="I364" i="3"/>
  <c r="I588" i="3"/>
  <c r="I109" i="3"/>
  <c r="I429" i="3"/>
  <c r="I653" i="3"/>
  <c r="I142" i="3"/>
  <c r="I7" i="3"/>
  <c r="I23" i="3"/>
  <c r="I39" i="3"/>
  <c r="I55" i="3"/>
  <c r="I71" i="3"/>
  <c r="I87" i="3"/>
  <c r="I103" i="3"/>
  <c r="I119" i="3"/>
  <c r="I135" i="3"/>
  <c r="I151" i="3"/>
  <c r="I167" i="3"/>
  <c r="I183" i="3"/>
  <c r="I247" i="3"/>
  <c r="I295" i="3"/>
  <c r="I423" i="3"/>
  <c r="I631" i="3"/>
  <c r="I585" i="3"/>
  <c r="I122" i="3"/>
  <c r="I154" i="3"/>
  <c r="I234" i="3"/>
  <c r="I298" i="3"/>
  <c r="I394" i="3"/>
  <c r="I490" i="3"/>
  <c r="I570" i="3"/>
  <c r="I666" i="3"/>
  <c r="I27" i="3"/>
  <c r="I155" i="3"/>
  <c r="I267" i="3"/>
  <c r="I363" i="3"/>
  <c r="I507" i="3"/>
  <c r="I619" i="3"/>
  <c r="I28" i="3"/>
  <c r="I236" i="3"/>
  <c r="I396" i="3"/>
  <c r="I524" i="3"/>
  <c r="I652" i="3"/>
  <c r="I93" i="3"/>
  <c r="I157" i="3"/>
  <c r="I253" i="3"/>
  <c r="I301" i="3"/>
  <c r="I413" i="3"/>
  <c r="I525" i="3"/>
  <c r="I621" i="3"/>
  <c r="I30" i="3"/>
  <c r="I190" i="3"/>
  <c r="I302" i="3"/>
  <c r="I8" i="3"/>
  <c r="I24" i="3"/>
  <c r="I40" i="3"/>
  <c r="I56" i="3"/>
  <c r="I72" i="3"/>
  <c r="I88" i="3"/>
  <c r="I104" i="3"/>
  <c r="I120" i="3"/>
  <c r="I136" i="3"/>
  <c r="I152" i="3"/>
  <c r="I168" i="3"/>
  <c r="I184" i="3"/>
  <c r="I200" i="3"/>
  <c r="I216" i="3"/>
  <c r="I232" i="3"/>
  <c r="I248" i="3"/>
  <c r="I264" i="3"/>
  <c r="I280" i="3"/>
  <c r="I296" i="3"/>
  <c r="I312" i="3"/>
  <c r="I328" i="3"/>
  <c r="I344" i="3"/>
  <c r="I360" i="3"/>
  <c r="I376" i="3"/>
  <c r="I392" i="3"/>
  <c r="I408" i="3"/>
  <c r="I424" i="3"/>
  <c r="I456" i="3"/>
  <c r="I520" i="3"/>
  <c r="I632" i="3"/>
  <c r="I681" i="3"/>
  <c r="I42" i="3"/>
  <c r="I218" i="3"/>
  <c r="I346" i="3"/>
  <c r="I474" i="3"/>
  <c r="I586" i="3"/>
  <c r="I11" i="3"/>
  <c r="I187" i="3"/>
  <c r="I283" i="3"/>
  <c r="I379" i="3"/>
  <c r="I491" i="3"/>
  <c r="I603" i="3"/>
  <c r="I76" i="3"/>
  <c r="I156" i="3"/>
  <c r="I252" i="3"/>
  <c r="I284" i="3"/>
  <c r="I348" i="3"/>
  <c r="I460" i="3"/>
  <c r="I572" i="3"/>
  <c r="I13" i="3"/>
  <c r="I205" i="3"/>
  <c r="I333" i="3"/>
  <c r="I445" i="3"/>
  <c r="I573" i="3"/>
  <c r="I637" i="3"/>
  <c r="I46" i="3"/>
  <c r="I174" i="3"/>
  <c r="I270" i="3"/>
  <c r="I334" i="3"/>
  <c r="I9" i="3"/>
  <c r="I25" i="3"/>
  <c r="I41" i="3"/>
  <c r="I57" i="3"/>
  <c r="I73" i="3"/>
  <c r="I89" i="3"/>
  <c r="I105" i="3"/>
  <c r="I121" i="3"/>
  <c r="I137" i="3"/>
  <c r="I153" i="3"/>
  <c r="I169" i="3"/>
  <c r="I185" i="3"/>
  <c r="I201" i="3"/>
  <c r="I217" i="3"/>
  <c r="I233" i="3"/>
  <c r="I249" i="3"/>
  <c r="I265" i="3"/>
  <c r="I281" i="3"/>
  <c r="I297" i="3"/>
  <c r="I313" i="3"/>
  <c r="I329" i="3"/>
  <c r="I345" i="3"/>
  <c r="I361" i="3"/>
  <c r="I377" i="3"/>
  <c r="I393" i="3"/>
  <c r="I409" i="3"/>
  <c r="I425" i="3"/>
  <c r="I441" i="3"/>
  <c r="I457" i="3"/>
  <c r="I473" i="3"/>
  <c r="I489" i="3"/>
  <c r="I505" i="3"/>
  <c r="I521" i="3"/>
  <c r="I537" i="3"/>
  <c r="I553" i="3"/>
  <c r="I569" i="3"/>
  <c r="I617" i="3"/>
  <c r="I138" i="3"/>
  <c r="I522" i="3"/>
  <c r="I139" i="3"/>
  <c r="I523" i="3"/>
  <c r="I140" i="3"/>
  <c r="I476" i="3"/>
  <c r="I141" i="3"/>
  <c r="I461" i="3"/>
  <c r="I126" i="3"/>
  <c r="I15" i="3"/>
  <c r="I128" i="3"/>
  <c r="I254" i="3"/>
  <c r="I366" i="3"/>
  <c r="I447" i="3"/>
  <c r="I528" i="3"/>
  <c r="I622" i="3"/>
  <c r="I16" i="3"/>
  <c r="I143" i="3"/>
  <c r="I255" i="3"/>
  <c r="I367" i="3"/>
  <c r="I448" i="3"/>
  <c r="I542" i="3"/>
  <c r="I623" i="3"/>
  <c r="I31" i="3"/>
  <c r="I144" i="3"/>
  <c r="I256" i="3"/>
  <c r="I368" i="3"/>
  <c r="I462" i="3"/>
  <c r="I543" i="3"/>
  <c r="I624" i="3"/>
  <c r="I32" i="3"/>
  <c r="I159" i="3"/>
  <c r="I271" i="3"/>
  <c r="I382" i="3"/>
  <c r="I463" i="3"/>
  <c r="I544" i="3"/>
  <c r="I638" i="3"/>
  <c r="I47" i="3"/>
  <c r="I160" i="3"/>
  <c r="I272" i="3"/>
  <c r="I383" i="3"/>
  <c r="I464" i="3"/>
  <c r="I558" i="3"/>
  <c r="I639" i="3"/>
  <c r="I48" i="3"/>
  <c r="I175" i="3"/>
  <c r="I287" i="3"/>
  <c r="I384" i="3"/>
  <c r="I478" i="3"/>
  <c r="I559" i="3"/>
  <c r="I640" i="3"/>
  <c r="I63" i="3"/>
  <c r="I176" i="3"/>
  <c r="I288" i="3"/>
  <c r="I398" i="3"/>
  <c r="I479" i="3"/>
  <c r="I560" i="3"/>
  <c r="I654" i="3"/>
  <c r="I64" i="3"/>
  <c r="I191" i="3"/>
  <c r="I303" i="3"/>
  <c r="I480" i="3"/>
  <c r="I574" i="3"/>
  <c r="I655" i="3"/>
  <c r="I79" i="3"/>
  <c r="I192" i="3"/>
  <c r="I304" i="3"/>
  <c r="I575" i="3"/>
  <c r="I80" i="3"/>
  <c r="I319" i="3"/>
  <c r="I495" i="3"/>
  <c r="I670" i="3"/>
  <c r="I208" i="3"/>
  <c r="I590" i="3"/>
  <c r="I223" i="3"/>
  <c r="I416" i="3"/>
  <c r="I672" i="3"/>
  <c r="I430" i="3"/>
  <c r="I350" i="3"/>
  <c r="I606" i="3"/>
  <c r="I239" i="3"/>
  <c r="I240" i="3"/>
  <c r="I527" i="3"/>
  <c r="I399" i="3"/>
  <c r="I494" i="3"/>
  <c r="I656" i="3"/>
  <c r="I207" i="3"/>
  <c r="I414" i="3"/>
  <c r="I576" i="3"/>
  <c r="I95" i="3"/>
  <c r="I496" i="3"/>
  <c r="I96" i="3"/>
  <c r="I510" i="3"/>
  <c r="I224" i="3"/>
  <c r="I511" i="3"/>
  <c r="I111" i="3"/>
  <c r="I512" i="3"/>
  <c r="I351" i="3"/>
  <c r="I607" i="3"/>
  <c r="I352" i="3"/>
  <c r="I400" i="3"/>
  <c r="I320" i="3"/>
  <c r="I671" i="3"/>
  <c r="I335" i="3"/>
  <c r="I591" i="3"/>
  <c r="I336" i="3"/>
  <c r="I238" i="3"/>
  <c r="I112" i="3"/>
  <c r="I526" i="3"/>
  <c r="I446" i="3"/>
  <c r="I415" i="3"/>
  <c r="I110" i="3"/>
  <c r="I592" i="3"/>
  <c r="I431" i="3"/>
  <c r="I432" i="3"/>
  <c r="I127" i="3"/>
  <c r="I608" i="3"/>
  <c r="E65" i="3"/>
  <c r="E129" i="3"/>
  <c r="E337" i="3"/>
  <c r="E353" i="3"/>
  <c r="E385" i="3"/>
  <c r="E593" i="3"/>
  <c r="E609" i="3"/>
  <c r="E625" i="3"/>
  <c r="E641" i="3"/>
  <c r="E178" i="3"/>
  <c r="E370" i="3"/>
  <c r="E434" i="3"/>
  <c r="E450" i="3"/>
  <c r="E658" i="3"/>
  <c r="E57" i="3"/>
  <c r="E239" i="3"/>
  <c r="E331" i="3"/>
  <c r="E349" i="3"/>
  <c r="E569" i="3"/>
  <c r="E587" i="3"/>
  <c r="E605" i="3"/>
  <c r="E623" i="3"/>
  <c r="E240" i="3"/>
  <c r="E534" i="3"/>
  <c r="E612" i="3"/>
  <c r="E521" i="3"/>
  <c r="E504" i="3"/>
  <c r="E527" i="3"/>
  <c r="E318" i="3"/>
  <c r="E540" i="3"/>
  <c r="E524" i="3"/>
  <c r="E652" i="3"/>
  <c r="E508" i="3"/>
  <c r="E491" i="3"/>
  <c r="E261" i="3"/>
  <c r="E297" i="3"/>
  <c r="E443" i="3"/>
  <c r="E263" i="3"/>
  <c r="E409" i="3"/>
  <c r="E119" i="3"/>
  <c r="E613" i="3"/>
  <c r="E651" i="3"/>
  <c r="E432" i="3"/>
  <c r="E525" i="3"/>
  <c r="E144" i="3"/>
  <c r="E352" i="3"/>
  <c r="E372" i="3"/>
  <c r="E665" i="3"/>
  <c r="E648" i="3"/>
  <c r="E580" i="3"/>
  <c r="E252" i="3"/>
  <c r="E207" i="3"/>
  <c r="E411" i="3"/>
  <c r="E142" i="3"/>
  <c r="E219" i="3"/>
  <c r="E172" i="3"/>
  <c r="E558" i="3"/>
  <c r="E67" i="3"/>
  <c r="E413" i="3"/>
  <c r="E180" i="3"/>
  <c r="E236" i="3"/>
  <c r="E19" i="3"/>
  <c r="E451" i="3"/>
  <c r="E600" i="3"/>
  <c r="E28" i="3"/>
  <c r="E320" i="3"/>
  <c r="E669" i="3"/>
  <c r="E232" i="3"/>
  <c r="E105" i="3"/>
  <c r="E581" i="3"/>
  <c r="E157" i="3"/>
  <c r="E51" i="3"/>
  <c r="E198" i="3"/>
  <c r="E584" i="3"/>
  <c r="E253" i="3"/>
  <c r="E438" i="3"/>
  <c r="E128" i="3"/>
  <c r="E330" i="3"/>
  <c r="E476" i="3"/>
  <c r="E622" i="3"/>
  <c r="E237" i="3"/>
  <c r="E366" i="3"/>
  <c r="E550" i="3"/>
  <c r="D33" i="2"/>
  <c r="D289" i="2"/>
  <c r="D497" i="2"/>
  <c r="D545" i="2"/>
  <c r="D77" i="2"/>
  <c r="D95" i="2"/>
  <c r="D130" i="2"/>
  <c r="D162" i="2"/>
  <c r="D290" i="2"/>
  <c r="D546" i="2"/>
  <c r="D270" i="2"/>
  <c r="D323" i="2"/>
  <c r="D327" i="2"/>
  <c r="D217" i="2"/>
  <c r="D68" i="2"/>
  <c r="D148" i="2"/>
  <c r="D324" i="2"/>
  <c r="D404" i="2"/>
  <c r="D41" i="2"/>
  <c r="D380" i="2"/>
  <c r="D477" i="2"/>
  <c r="D133" i="2"/>
  <c r="D469" i="2"/>
  <c r="D361" i="2"/>
  <c r="D282" i="2"/>
  <c r="D429" i="2"/>
  <c r="D96" i="2"/>
  <c r="D118" i="2"/>
  <c r="D214" i="2"/>
  <c r="D470" i="2"/>
  <c r="D92" i="2"/>
  <c r="D236" i="2"/>
  <c r="D80" i="2"/>
  <c r="D231" i="2"/>
  <c r="D247" i="2"/>
  <c r="D329" i="2"/>
  <c r="D126" i="2"/>
  <c r="D525" i="2"/>
  <c r="E17" i="2"/>
  <c r="E33" i="2"/>
  <c r="E49" i="2"/>
  <c r="E65" i="2"/>
  <c r="E81" i="2"/>
  <c r="E97" i="2"/>
  <c r="E113" i="2"/>
  <c r="E129" i="2"/>
  <c r="E145" i="2"/>
  <c r="E161" i="2"/>
  <c r="E177" i="2"/>
  <c r="E193" i="2"/>
  <c r="E209" i="2"/>
  <c r="E225" i="2"/>
  <c r="E241" i="2"/>
  <c r="E257" i="2"/>
  <c r="E273" i="2"/>
  <c r="E289" i="2"/>
  <c r="E305" i="2"/>
  <c r="E321" i="2"/>
  <c r="E337" i="2"/>
  <c r="E353" i="2"/>
  <c r="E369" i="2"/>
  <c r="E385" i="2"/>
  <c r="E401" i="2"/>
  <c r="E417" i="2"/>
  <c r="E433" i="2"/>
  <c r="E449" i="2"/>
  <c r="E465" i="2"/>
  <c r="E481" i="2"/>
  <c r="E497" i="2"/>
  <c r="E513" i="2"/>
  <c r="E529" i="2"/>
  <c r="E545" i="2"/>
  <c r="E2" i="2"/>
  <c r="E18" i="2"/>
  <c r="E34" i="2"/>
  <c r="E50" i="2"/>
  <c r="E66" i="2"/>
  <c r="E82" i="2"/>
  <c r="E98" i="2"/>
  <c r="E114" i="2"/>
  <c r="E130" i="2"/>
  <c r="E146" i="2"/>
  <c r="E162" i="2"/>
  <c r="E178" i="2"/>
  <c r="E194" i="2"/>
  <c r="E210" i="2"/>
  <c r="E226" i="2"/>
  <c r="E242" i="2"/>
  <c r="E258" i="2"/>
  <c r="E274" i="2"/>
  <c r="E290" i="2"/>
  <c r="E306" i="2"/>
  <c r="E322" i="2"/>
  <c r="E338" i="2"/>
  <c r="E354" i="2"/>
  <c r="E370" i="2"/>
  <c r="E386" i="2"/>
  <c r="E402" i="2"/>
  <c r="E418" i="2"/>
  <c r="E434" i="2"/>
  <c r="E450" i="2"/>
  <c r="E466" i="2"/>
  <c r="E482" i="2"/>
  <c r="E498" i="2"/>
  <c r="E514" i="2"/>
  <c r="E530" i="2"/>
  <c r="E546" i="2"/>
  <c r="E106" i="2"/>
  <c r="E250" i="2"/>
  <c r="E378" i="2"/>
  <c r="E538" i="2"/>
  <c r="E123" i="2"/>
  <c r="E219" i="2"/>
  <c r="E331" i="2"/>
  <c r="E427" i="2"/>
  <c r="E539" i="2"/>
  <c r="E44" i="2"/>
  <c r="E236" i="2"/>
  <c r="E412" i="2"/>
  <c r="E125" i="2"/>
  <c r="E205" i="2"/>
  <c r="E317" i="2"/>
  <c r="E3" i="2"/>
  <c r="E19" i="2"/>
  <c r="E35" i="2"/>
  <c r="E51" i="2"/>
  <c r="E67" i="2"/>
  <c r="E83" i="2"/>
  <c r="E99" i="2"/>
  <c r="E115" i="2"/>
  <c r="E131" i="2"/>
  <c r="E147" i="2"/>
  <c r="E163" i="2"/>
  <c r="E179" i="2"/>
  <c r="E195" i="2"/>
  <c r="E211" i="2"/>
  <c r="E227" i="2"/>
  <c r="E243" i="2"/>
  <c r="E259" i="2"/>
  <c r="E275" i="2"/>
  <c r="E291" i="2"/>
  <c r="E307" i="2"/>
  <c r="E323" i="2"/>
  <c r="E339" i="2"/>
  <c r="E355" i="2"/>
  <c r="E371" i="2"/>
  <c r="E387" i="2"/>
  <c r="E403" i="2"/>
  <c r="E419" i="2"/>
  <c r="E435" i="2"/>
  <c r="E451" i="2"/>
  <c r="E467" i="2"/>
  <c r="E483" i="2"/>
  <c r="E499" i="2"/>
  <c r="E515" i="2"/>
  <c r="E531" i="2"/>
  <c r="E547" i="2"/>
  <c r="E485" i="2"/>
  <c r="E533" i="2"/>
  <c r="E326" i="2"/>
  <c r="E390" i="2"/>
  <c r="E470" i="2"/>
  <c r="E518" i="2"/>
  <c r="E327" i="2"/>
  <c r="E407" i="2"/>
  <c r="E487" i="2"/>
  <c r="E551" i="2"/>
  <c r="E488" i="2"/>
  <c r="E9" i="2"/>
  <c r="E153" i="2"/>
  <c r="E249" i="2"/>
  <c r="E329" i="2"/>
  <c r="E409" i="2"/>
  <c r="E505" i="2"/>
  <c r="E553" i="2"/>
  <c r="E58" i="2"/>
  <c r="E138" i="2"/>
  <c r="E234" i="2"/>
  <c r="E330" i="2"/>
  <c r="E426" i="2"/>
  <c r="E490" i="2"/>
  <c r="E27" i="2"/>
  <c r="E155" i="2"/>
  <c r="E283" i="2"/>
  <c r="E395" i="2"/>
  <c r="E507" i="2"/>
  <c r="E60" i="2"/>
  <c r="E220" i="2"/>
  <c r="E348" i="2"/>
  <c r="E476" i="2"/>
  <c r="E93" i="2"/>
  <c r="E189" i="2"/>
  <c r="E301" i="2"/>
  <c r="E365" i="2"/>
  <c r="E461" i="2"/>
  <c r="E541" i="2"/>
  <c r="E4" i="2"/>
  <c r="E20" i="2"/>
  <c r="E36" i="2"/>
  <c r="E52" i="2"/>
  <c r="E68" i="2"/>
  <c r="E84" i="2"/>
  <c r="E100" i="2"/>
  <c r="E116" i="2"/>
  <c r="E132" i="2"/>
  <c r="E148" i="2"/>
  <c r="E164" i="2"/>
  <c r="E180" i="2"/>
  <c r="E196" i="2"/>
  <c r="E212" i="2"/>
  <c r="E228" i="2"/>
  <c r="E244" i="2"/>
  <c r="E260" i="2"/>
  <c r="E276" i="2"/>
  <c r="E292" i="2"/>
  <c r="E308" i="2"/>
  <c r="E324" i="2"/>
  <c r="E340" i="2"/>
  <c r="E356" i="2"/>
  <c r="E372" i="2"/>
  <c r="E388" i="2"/>
  <c r="E404" i="2"/>
  <c r="E420" i="2"/>
  <c r="E436" i="2"/>
  <c r="E452" i="2"/>
  <c r="E468" i="2"/>
  <c r="E484" i="2"/>
  <c r="E500" i="2"/>
  <c r="E516" i="2"/>
  <c r="E532" i="2"/>
  <c r="E548" i="2"/>
  <c r="E501" i="2"/>
  <c r="E549" i="2"/>
  <c r="E342" i="2"/>
  <c r="E406" i="2"/>
  <c r="E454" i="2"/>
  <c r="E502" i="2"/>
  <c r="E343" i="2"/>
  <c r="E423" i="2"/>
  <c r="E503" i="2"/>
  <c r="E472" i="2"/>
  <c r="E536" i="2"/>
  <c r="E25" i="2"/>
  <c r="E137" i="2"/>
  <c r="E217" i="2"/>
  <c r="E313" i="2"/>
  <c r="E393" i="2"/>
  <c r="E489" i="2"/>
  <c r="E42" i="2"/>
  <c r="E122" i="2"/>
  <c r="E202" i="2"/>
  <c r="E314" i="2"/>
  <c r="E410" i="2"/>
  <c r="E506" i="2"/>
  <c r="E43" i="2"/>
  <c r="E139" i="2"/>
  <c r="E267" i="2"/>
  <c r="E411" i="2"/>
  <c r="E523" i="2"/>
  <c r="E76" i="2"/>
  <c r="E156" i="2"/>
  <c r="E252" i="2"/>
  <c r="E332" i="2"/>
  <c r="E444" i="2"/>
  <c r="E524" i="2"/>
  <c r="E61" i="2"/>
  <c r="E173" i="2"/>
  <c r="E285" i="2"/>
  <c r="E349" i="2"/>
  <c r="E477" i="2"/>
  <c r="E557" i="2"/>
  <c r="E5" i="2"/>
  <c r="E21" i="2"/>
  <c r="E37" i="2"/>
  <c r="E53" i="2"/>
  <c r="E69" i="2"/>
  <c r="E85" i="2"/>
  <c r="E101" i="2"/>
  <c r="E117" i="2"/>
  <c r="E133" i="2"/>
  <c r="E149" i="2"/>
  <c r="E165" i="2"/>
  <c r="E181" i="2"/>
  <c r="E197" i="2"/>
  <c r="E213" i="2"/>
  <c r="E229" i="2"/>
  <c r="E245" i="2"/>
  <c r="E261" i="2"/>
  <c r="E277" i="2"/>
  <c r="E293" i="2"/>
  <c r="E309" i="2"/>
  <c r="E325" i="2"/>
  <c r="E341" i="2"/>
  <c r="E357" i="2"/>
  <c r="E373" i="2"/>
  <c r="E389" i="2"/>
  <c r="E405" i="2"/>
  <c r="E421" i="2"/>
  <c r="E437" i="2"/>
  <c r="E453" i="2"/>
  <c r="E469" i="2"/>
  <c r="E517" i="2"/>
  <c r="E374" i="2"/>
  <c r="E438" i="2"/>
  <c r="E486" i="2"/>
  <c r="E534" i="2"/>
  <c r="E359" i="2"/>
  <c r="E391" i="2"/>
  <c r="E471" i="2"/>
  <c r="E519" i="2"/>
  <c r="E504" i="2"/>
  <c r="E57" i="2"/>
  <c r="E233" i="2"/>
  <c r="E377" i="2"/>
  <c r="E473" i="2"/>
  <c r="E74" i="2"/>
  <c r="E186" i="2"/>
  <c r="E266" i="2"/>
  <c r="E362" i="2"/>
  <c r="E458" i="2"/>
  <c r="E91" i="2"/>
  <c r="E171" i="2"/>
  <c r="E251" i="2"/>
  <c r="E363" i="2"/>
  <c r="E491" i="2"/>
  <c r="E124" i="2"/>
  <c r="E204" i="2"/>
  <c r="E316" i="2"/>
  <c r="E428" i="2"/>
  <c r="E540" i="2"/>
  <c r="E109" i="2"/>
  <c r="E221" i="2"/>
  <c r="E333" i="2"/>
  <c r="E6" i="2"/>
  <c r="E22" i="2"/>
  <c r="E38" i="2"/>
  <c r="E54" i="2"/>
  <c r="E70" i="2"/>
  <c r="E86" i="2"/>
  <c r="E102" i="2"/>
  <c r="E118" i="2"/>
  <c r="E134" i="2"/>
  <c r="E150" i="2"/>
  <c r="E166" i="2"/>
  <c r="E182" i="2"/>
  <c r="E198" i="2"/>
  <c r="E214" i="2"/>
  <c r="E230" i="2"/>
  <c r="E246" i="2"/>
  <c r="E262" i="2"/>
  <c r="E278" i="2"/>
  <c r="E294" i="2"/>
  <c r="E310" i="2"/>
  <c r="E358" i="2"/>
  <c r="E422" i="2"/>
  <c r="E550" i="2"/>
  <c r="E439" i="2"/>
  <c r="E535" i="2"/>
  <c r="E552" i="2"/>
  <c r="E41" i="2"/>
  <c r="E297" i="2"/>
  <c r="E457" i="2"/>
  <c r="E90" i="2"/>
  <c r="E218" i="2"/>
  <c r="E346" i="2"/>
  <c r="E474" i="2"/>
  <c r="E107" i="2"/>
  <c r="E235" i="2"/>
  <c r="E347" i="2"/>
  <c r="E475" i="2"/>
  <c r="E108" i="2"/>
  <c r="E188" i="2"/>
  <c r="E300" i="2"/>
  <c r="E396" i="2"/>
  <c r="E508" i="2"/>
  <c r="E77" i="2"/>
  <c r="E237" i="2"/>
  <c r="E7" i="2"/>
  <c r="E23" i="2"/>
  <c r="E39" i="2"/>
  <c r="E55" i="2"/>
  <c r="E71" i="2"/>
  <c r="E87" i="2"/>
  <c r="E103" i="2"/>
  <c r="E119" i="2"/>
  <c r="E135" i="2"/>
  <c r="E151" i="2"/>
  <c r="E167" i="2"/>
  <c r="E183" i="2"/>
  <c r="E199" i="2"/>
  <c r="E215" i="2"/>
  <c r="E231" i="2"/>
  <c r="E247" i="2"/>
  <c r="E263" i="2"/>
  <c r="E279" i="2"/>
  <c r="E295" i="2"/>
  <c r="E311" i="2"/>
  <c r="E375" i="2"/>
  <c r="E455" i="2"/>
  <c r="E73" i="2"/>
  <c r="E121" i="2"/>
  <c r="E185" i="2"/>
  <c r="E265" i="2"/>
  <c r="E345" i="2"/>
  <c r="E425" i="2"/>
  <c r="E537" i="2"/>
  <c r="E10" i="2"/>
  <c r="E170" i="2"/>
  <c r="E282" i="2"/>
  <c r="E394" i="2"/>
  <c r="E522" i="2"/>
  <c r="E75" i="2"/>
  <c r="E203" i="2"/>
  <c r="E299" i="2"/>
  <c r="E379" i="2"/>
  <c r="E459" i="2"/>
  <c r="E555" i="2"/>
  <c r="E92" i="2"/>
  <c r="E172" i="2"/>
  <c r="E268" i="2"/>
  <c r="E364" i="2"/>
  <c r="E460" i="2"/>
  <c r="E29" i="2"/>
  <c r="E141" i="2"/>
  <c r="E269" i="2"/>
  <c r="E381" i="2"/>
  <c r="E509" i="2"/>
  <c r="E8" i="2"/>
  <c r="E24" i="2"/>
  <c r="E40" i="2"/>
  <c r="E56" i="2"/>
  <c r="E72" i="2"/>
  <c r="E88" i="2"/>
  <c r="E104" i="2"/>
  <c r="E120" i="2"/>
  <c r="E136" i="2"/>
  <c r="E152" i="2"/>
  <c r="E168" i="2"/>
  <c r="E184" i="2"/>
  <c r="E200" i="2"/>
  <c r="E216" i="2"/>
  <c r="E232" i="2"/>
  <c r="E248" i="2"/>
  <c r="E264" i="2"/>
  <c r="E280" i="2"/>
  <c r="E296" i="2"/>
  <c r="E312" i="2"/>
  <c r="E328" i="2"/>
  <c r="E344" i="2"/>
  <c r="E360" i="2"/>
  <c r="E376" i="2"/>
  <c r="E392" i="2"/>
  <c r="E408" i="2"/>
  <c r="E424" i="2"/>
  <c r="E440" i="2"/>
  <c r="E456" i="2"/>
  <c r="E520" i="2"/>
  <c r="E89" i="2"/>
  <c r="E105" i="2"/>
  <c r="E169" i="2"/>
  <c r="E201" i="2"/>
  <c r="E281" i="2"/>
  <c r="E361" i="2"/>
  <c r="E441" i="2"/>
  <c r="E521" i="2"/>
  <c r="E26" i="2"/>
  <c r="E154" i="2"/>
  <c r="E298" i="2"/>
  <c r="E442" i="2"/>
  <c r="E554" i="2"/>
  <c r="E59" i="2"/>
  <c r="E187" i="2"/>
  <c r="E315" i="2"/>
  <c r="E443" i="2"/>
  <c r="E28" i="2"/>
  <c r="E140" i="2"/>
  <c r="E284" i="2"/>
  <c r="E380" i="2"/>
  <c r="E492" i="2"/>
  <c r="E556" i="2"/>
  <c r="E45" i="2"/>
  <c r="E157" i="2"/>
  <c r="E253" i="2"/>
  <c r="E397" i="2"/>
  <c r="E525" i="2"/>
  <c r="E11" i="2"/>
  <c r="E12" i="2"/>
  <c r="E13" i="2"/>
  <c r="E14" i="2"/>
  <c r="E95" i="2"/>
  <c r="E176" i="2"/>
  <c r="E270" i="2"/>
  <c r="E351" i="2"/>
  <c r="E430" i="2"/>
  <c r="E496" i="2"/>
  <c r="E15" i="2"/>
  <c r="E96" i="2"/>
  <c r="E190" i="2"/>
  <c r="E271" i="2"/>
  <c r="E352" i="2"/>
  <c r="E431" i="2"/>
  <c r="E510" i="2"/>
  <c r="E191" i="2"/>
  <c r="E366" i="2"/>
  <c r="E432" i="2"/>
  <c r="E30" i="2"/>
  <c r="E111" i="2"/>
  <c r="E192" i="2"/>
  <c r="E286" i="2"/>
  <c r="E367" i="2"/>
  <c r="E31" i="2"/>
  <c r="E206" i="2"/>
  <c r="E368" i="2"/>
  <c r="E126" i="2"/>
  <c r="E382" i="2"/>
  <c r="E46" i="2"/>
  <c r="E302" i="2"/>
  <c r="E528" i="2"/>
  <c r="E47" i="2"/>
  <c r="E303" i="2"/>
  <c r="E542" i="2"/>
  <c r="E223" i="2"/>
  <c r="E463" i="2"/>
  <c r="E224" i="2"/>
  <c r="E399" i="2"/>
  <c r="E63" i="2"/>
  <c r="E319" i="2"/>
  <c r="E558" i="2"/>
  <c r="E239" i="2"/>
  <c r="E479" i="2"/>
  <c r="E78" i="2"/>
  <c r="E334" i="2"/>
  <c r="E560" i="2"/>
  <c r="E254" i="2"/>
  <c r="E493" i="2"/>
  <c r="E255" i="2"/>
  <c r="E494" i="2"/>
  <c r="E350" i="2"/>
  <c r="E16" i="2"/>
  <c r="E110" i="2"/>
  <c r="E272" i="2"/>
  <c r="E511" i="2"/>
  <c r="E445" i="2"/>
  <c r="E112" i="2"/>
  <c r="E287" i="2"/>
  <c r="E446" i="2"/>
  <c r="E526" i="2"/>
  <c r="E32" i="2"/>
  <c r="E288" i="2"/>
  <c r="E447" i="2"/>
  <c r="E127" i="2"/>
  <c r="E383" i="2"/>
  <c r="E128" i="2"/>
  <c r="E462" i="2"/>
  <c r="E48" i="2"/>
  <c r="E398" i="2"/>
  <c r="E62" i="2"/>
  <c r="E318" i="2"/>
  <c r="E544" i="2"/>
  <c r="E144" i="2"/>
  <c r="E478" i="2"/>
  <c r="E158" i="2"/>
  <c r="E320" i="2"/>
  <c r="E559" i="2"/>
  <c r="E240" i="2"/>
  <c r="E480" i="2"/>
  <c r="E79" i="2"/>
  <c r="E335" i="2"/>
  <c r="E80" i="2"/>
  <c r="E416" i="2"/>
  <c r="E256" i="2"/>
  <c r="E495" i="2"/>
  <c r="E512" i="2"/>
  <c r="E207" i="2"/>
  <c r="E527" i="2"/>
  <c r="E208" i="2"/>
  <c r="E448" i="2"/>
  <c r="E222" i="2"/>
  <c r="E384" i="2"/>
  <c r="E142" i="2"/>
  <c r="E304" i="2"/>
  <c r="E543" i="2"/>
  <c r="E143" i="2"/>
  <c r="E464" i="2"/>
  <c r="E238" i="2"/>
  <c r="E400" i="2"/>
  <c r="E64" i="2"/>
  <c r="E413" i="2"/>
  <c r="E159" i="2"/>
  <c r="E414" i="2"/>
  <c r="E160" i="2"/>
  <c r="E415" i="2"/>
  <c r="E174" i="2"/>
  <c r="E336" i="2"/>
  <c r="E175" i="2"/>
  <c r="E429" i="2"/>
  <c r="E94" i="2"/>
  <c r="E33" i="3"/>
  <c r="E81" i="3"/>
  <c r="E145" i="3"/>
  <c r="E177" i="3"/>
  <c r="E401" i="3"/>
  <c r="E545" i="3"/>
  <c r="E657" i="3"/>
  <c r="E601" i="3"/>
  <c r="E146" i="3"/>
  <c r="E322" i="3"/>
  <c r="E546" i="3"/>
  <c r="E578" i="3"/>
  <c r="E83" i="3"/>
  <c r="E371" i="3"/>
  <c r="E627" i="3"/>
  <c r="E502" i="3"/>
  <c r="E566" i="3"/>
  <c r="E202" i="3"/>
  <c r="E315" i="3"/>
  <c r="E415" i="3"/>
  <c r="E116" i="3"/>
  <c r="E276" i="3"/>
  <c r="E553" i="3"/>
  <c r="E79" i="3"/>
  <c r="E69" i="3"/>
  <c r="E197" i="3"/>
  <c r="E213" i="3"/>
  <c r="E384" i="3"/>
  <c r="E230" i="3"/>
  <c r="E246" i="3"/>
  <c r="E310" i="3"/>
  <c r="E406" i="3"/>
  <c r="E460" i="3"/>
  <c r="E398" i="3"/>
  <c r="E7" i="3"/>
  <c r="E151" i="3"/>
  <c r="E231" i="3"/>
  <c r="E407" i="3"/>
  <c r="E506" i="3"/>
  <c r="E187" i="3"/>
  <c r="E319" i="3"/>
  <c r="E368" i="3"/>
  <c r="E8" i="3"/>
  <c r="E104" i="3"/>
  <c r="E488" i="3"/>
  <c r="E382" i="3"/>
  <c r="E559" i="3"/>
  <c r="E220" i="3"/>
  <c r="E412" i="3"/>
  <c r="E574" i="3"/>
  <c r="E77" i="3"/>
  <c r="E221" i="3"/>
  <c r="E158" i="3"/>
  <c r="E608" i="3"/>
  <c r="D164" i="2"/>
  <c r="D25" i="2"/>
  <c r="D123" i="2"/>
  <c r="D314" i="2"/>
  <c r="D223" i="2"/>
  <c r="D335" i="2"/>
  <c r="D7" i="2"/>
  <c r="D28" i="2"/>
  <c r="D205" i="2"/>
  <c r="D538" i="2"/>
  <c r="D343" i="2"/>
  <c r="D437" i="2"/>
  <c r="D136" i="2"/>
  <c r="D266" i="2"/>
  <c r="D155" i="2"/>
  <c r="D415" i="2"/>
  <c r="D527" i="2"/>
  <c r="B3" i="2"/>
  <c r="B19" i="2"/>
  <c r="B35" i="2"/>
  <c r="B51" i="2"/>
  <c r="B67" i="2"/>
  <c r="B83" i="2"/>
  <c r="B99" i="2"/>
  <c r="B115" i="2"/>
  <c r="B131" i="2"/>
  <c r="B147" i="2"/>
  <c r="B163" i="2"/>
  <c r="B179" i="2"/>
  <c r="B195" i="2"/>
  <c r="B211" i="2"/>
  <c r="B227" i="2"/>
  <c r="B243" i="2"/>
  <c r="B259" i="2"/>
  <c r="B275" i="2"/>
  <c r="B291" i="2"/>
  <c r="B307" i="2"/>
  <c r="B323" i="2"/>
  <c r="B339" i="2"/>
  <c r="B355" i="2"/>
  <c r="B371" i="2"/>
  <c r="B387" i="2"/>
  <c r="B403" i="2"/>
  <c r="B419" i="2"/>
  <c r="B435" i="2"/>
  <c r="B451" i="2"/>
  <c r="B467" i="2"/>
  <c r="B483" i="2"/>
  <c r="B499" i="2"/>
  <c r="B515" i="2"/>
  <c r="B531" i="2"/>
  <c r="B547" i="2"/>
  <c r="B38" i="2"/>
  <c r="B406" i="2"/>
  <c r="B313" i="2"/>
  <c r="B441" i="2"/>
  <c r="B537" i="2"/>
  <c r="B74" i="2"/>
  <c r="B170" i="2"/>
  <c r="B266" i="2"/>
  <c r="B346" i="2"/>
  <c r="B474" i="2"/>
  <c r="B347" i="2"/>
  <c r="B507" i="2"/>
  <c r="B92" i="2"/>
  <c r="B156" i="2"/>
  <c r="B300" i="2"/>
  <c r="B412" i="2"/>
  <c r="B508" i="2"/>
  <c r="B93" i="2"/>
  <c r="B173" i="2"/>
  <c r="B269" i="2"/>
  <c r="B349" i="2"/>
  <c r="B445" i="2"/>
  <c r="B541" i="2"/>
  <c r="B62" i="2"/>
  <c r="B174" i="2"/>
  <c r="B334" i="2"/>
  <c r="B478" i="2"/>
  <c r="B159" i="2"/>
  <c r="B351" i="2"/>
  <c r="B527" i="2"/>
  <c r="B96" i="2"/>
  <c r="B176" i="2"/>
  <c r="B304" i="2"/>
  <c r="B448" i="2"/>
  <c r="B4" i="2"/>
  <c r="B20" i="2"/>
  <c r="B36" i="2"/>
  <c r="B52" i="2"/>
  <c r="B68" i="2"/>
  <c r="B84" i="2"/>
  <c r="B100" i="2"/>
  <c r="B116" i="2"/>
  <c r="B132" i="2"/>
  <c r="B148" i="2"/>
  <c r="B164" i="2"/>
  <c r="B180" i="2"/>
  <c r="B196" i="2"/>
  <c r="B212" i="2"/>
  <c r="B228" i="2"/>
  <c r="B244" i="2"/>
  <c r="B260" i="2"/>
  <c r="B276" i="2"/>
  <c r="B292" i="2"/>
  <c r="B308" i="2"/>
  <c r="B324" i="2"/>
  <c r="B340" i="2"/>
  <c r="B356" i="2"/>
  <c r="B372" i="2"/>
  <c r="B388" i="2"/>
  <c r="B404" i="2"/>
  <c r="B420" i="2"/>
  <c r="B436" i="2"/>
  <c r="B452" i="2"/>
  <c r="B468" i="2"/>
  <c r="B484" i="2"/>
  <c r="B500" i="2"/>
  <c r="B516" i="2"/>
  <c r="B532" i="2"/>
  <c r="B548" i="2"/>
  <c r="B22" i="2"/>
  <c r="B246" i="2"/>
  <c r="B358" i="2"/>
  <c r="B454" i="2"/>
  <c r="B534" i="2"/>
  <c r="B265" i="2"/>
  <c r="B393" i="2"/>
  <c r="B521" i="2"/>
  <c r="B90" i="2"/>
  <c r="B250" i="2"/>
  <c r="B394" i="2"/>
  <c r="B554" i="2"/>
  <c r="B443" i="2"/>
  <c r="B539" i="2"/>
  <c r="B76" i="2"/>
  <c r="B236" i="2"/>
  <c r="B396" i="2"/>
  <c r="B109" i="2"/>
  <c r="B237" i="2"/>
  <c r="B365" i="2"/>
  <c r="B477" i="2"/>
  <c r="B46" i="2"/>
  <c r="B238" i="2"/>
  <c r="B382" i="2"/>
  <c r="B542" i="2"/>
  <c r="B255" i="2"/>
  <c r="B399" i="2"/>
  <c r="B511" i="2"/>
  <c r="B16" i="2"/>
  <c r="B240" i="2"/>
  <c r="B416" i="2"/>
  <c r="B81" i="2"/>
  <c r="B161" i="2"/>
  <c r="B273" i="2"/>
  <c r="B401" i="2"/>
  <c r="B513" i="2"/>
  <c r="B66" i="2"/>
  <c r="B178" i="2"/>
  <c r="B306" i="2"/>
  <c r="B5" i="2"/>
  <c r="B21" i="2"/>
  <c r="B37" i="2"/>
  <c r="B53" i="2"/>
  <c r="B69" i="2"/>
  <c r="B85" i="2"/>
  <c r="B101" i="2"/>
  <c r="B117" i="2"/>
  <c r="B133" i="2"/>
  <c r="B149" i="2"/>
  <c r="B165" i="2"/>
  <c r="B181" i="2"/>
  <c r="B197" i="2"/>
  <c r="B213" i="2"/>
  <c r="B229" i="2"/>
  <c r="B245" i="2"/>
  <c r="B261" i="2"/>
  <c r="B277" i="2"/>
  <c r="B293" i="2"/>
  <c r="B309" i="2"/>
  <c r="B325" i="2"/>
  <c r="B341" i="2"/>
  <c r="B357" i="2"/>
  <c r="B373" i="2"/>
  <c r="B389" i="2"/>
  <c r="B405" i="2"/>
  <c r="B421" i="2"/>
  <c r="B437" i="2"/>
  <c r="B453" i="2"/>
  <c r="B469" i="2"/>
  <c r="B485" i="2"/>
  <c r="B501" i="2"/>
  <c r="B517" i="2"/>
  <c r="B533" i="2"/>
  <c r="B549" i="2"/>
  <c r="B54" i="2"/>
  <c r="B198" i="2"/>
  <c r="B262" i="2"/>
  <c r="B294" i="2"/>
  <c r="B326" i="2"/>
  <c r="B374" i="2"/>
  <c r="B422" i="2"/>
  <c r="B470" i="2"/>
  <c r="B502" i="2"/>
  <c r="B550" i="2"/>
  <c r="B217" i="2"/>
  <c r="B361" i="2"/>
  <c r="B457" i="2"/>
  <c r="B553" i="2"/>
  <c r="B58" i="2"/>
  <c r="B138" i="2"/>
  <c r="B202" i="2"/>
  <c r="B298" i="2"/>
  <c r="B378" i="2"/>
  <c r="B458" i="2"/>
  <c r="B522" i="2"/>
  <c r="B427" i="2"/>
  <c r="B523" i="2"/>
  <c r="B60" i="2"/>
  <c r="B204" i="2"/>
  <c r="B316" i="2"/>
  <c r="B428" i="2"/>
  <c r="B524" i="2"/>
  <c r="B45" i="2"/>
  <c r="B157" i="2"/>
  <c r="B285" i="2"/>
  <c r="B397" i="2"/>
  <c r="B525" i="2"/>
  <c r="B126" i="2"/>
  <c r="B206" i="2"/>
  <c r="B318" i="2"/>
  <c r="B430" i="2"/>
  <c r="B175" i="2"/>
  <c r="B303" i="2"/>
  <c r="B463" i="2"/>
  <c r="B64" i="2"/>
  <c r="B144" i="2"/>
  <c r="B272" i="2"/>
  <c r="B384" i="2"/>
  <c r="B512" i="2"/>
  <c r="B49" i="2"/>
  <c r="B209" i="2"/>
  <c r="B353" i="2"/>
  <c r="B465" i="2"/>
  <c r="B50" i="2"/>
  <c r="B6" i="2"/>
  <c r="B70" i="2"/>
  <c r="B86" i="2"/>
  <c r="B102" i="2"/>
  <c r="B118" i="2"/>
  <c r="B134" i="2"/>
  <c r="B150" i="2"/>
  <c r="B166" i="2"/>
  <c r="B182" i="2"/>
  <c r="B214" i="2"/>
  <c r="B230" i="2"/>
  <c r="B278" i="2"/>
  <c r="B310" i="2"/>
  <c r="B342" i="2"/>
  <c r="B390" i="2"/>
  <c r="B438" i="2"/>
  <c r="B486" i="2"/>
  <c r="B518" i="2"/>
  <c r="B201" i="2"/>
  <c r="B377" i="2"/>
  <c r="B473" i="2"/>
  <c r="B42" i="2"/>
  <c r="B154" i="2"/>
  <c r="B234" i="2"/>
  <c r="B330" i="2"/>
  <c r="B410" i="2"/>
  <c r="B490" i="2"/>
  <c r="B363" i="2"/>
  <c r="B459" i="2"/>
  <c r="B12" i="2"/>
  <c r="B188" i="2"/>
  <c r="B332" i="2"/>
  <c r="B444" i="2"/>
  <c r="B540" i="2"/>
  <c r="B61" i="2"/>
  <c r="B205" i="2"/>
  <c r="B333" i="2"/>
  <c r="B461" i="2"/>
  <c r="B30" i="2"/>
  <c r="B142" i="2"/>
  <c r="B286" i="2"/>
  <c r="B446" i="2"/>
  <c r="B558" i="2"/>
  <c r="B191" i="2"/>
  <c r="B319" i="2"/>
  <c r="B447" i="2"/>
  <c r="B48" i="2"/>
  <c r="B256" i="2"/>
  <c r="B400" i="2"/>
  <c r="B544" i="2"/>
  <c r="B113" i="2"/>
  <c r="B225" i="2"/>
  <c r="B305" i="2"/>
  <c r="B433" i="2"/>
  <c r="B545" i="2"/>
  <c r="B98" i="2"/>
  <c r="B210" i="2"/>
  <c r="B322" i="2"/>
  <c r="B7" i="2"/>
  <c r="B23" i="2"/>
  <c r="B39" i="2"/>
  <c r="B55" i="2"/>
  <c r="B71" i="2"/>
  <c r="B87" i="2"/>
  <c r="B103" i="2"/>
  <c r="B119" i="2"/>
  <c r="B135" i="2"/>
  <c r="B151" i="2"/>
  <c r="B167" i="2"/>
  <c r="B183" i="2"/>
  <c r="B199" i="2"/>
  <c r="B215" i="2"/>
  <c r="B231" i="2"/>
  <c r="B247" i="2"/>
  <c r="B263" i="2"/>
  <c r="B279" i="2"/>
  <c r="B295" i="2"/>
  <c r="B311" i="2"/>
  <c r="B327" i="2"/>
  <c r="B343" i="2"/>
  <c r="B359" i="2"/>
  <c r="B375" i="2"/>
  <c r="B391" i="2"/>
  <c r="B407" i="2"/>
  <c r="B423" i="2"/>
  <c r="B439" i="2"/>
  <c r="B455" i="2"/>
  <c r="B471" i="2"/>
  <c r="B487" i="2"/>
  <c r="B503" i="2"/>
  <c r="B519" i="2"/>
  <c r="B535" i="2"/>
  <c r="B551" i="2"/>
  <c r="B9" i="2"/>
  <c r="B57" i="2"/>
  <c r="B73" i="2"/>
  <c r="B105" i="2"/>
  <c r="B137" i="2"/>
  <c r="B169" i="2"/>
  <c r="B249" i="2"/>
  <c r="B297" i="2"/>
  <c r="B345" i="2"/>
  <c r="B409" i="2"/>
  <c r="B489" i="2"/>
  <c r="B10" i="2"/>
  <c r="B122" i="2"/>
  <c r="B218" i="2"/>
  <c r="B314" i="2"/>
  <c r="B426" i="2"/>
  <c r="B538" i="2"/>
  <c r="B395" i="2"/>
  <c r="B475" i="2"/>
  <c r="B28" i="2"/>
  <c r="B140" i="2"/>
  <c r="B268" i="2"/>
  <c r="B364" i="2"/>
  <c r="B460" i="2"/>
  <c r="B556" i="2"/>
  <c r="B77" i="2"/>
  <c r="B141" i="2"/>
  <c r="B221" i="2"/>
  <c r="B301" i="2"/>
  <c r="B413" i="2"/>
  <c r="B557" i="2"/>
  <c r="B110" i="2"/>
  <c r="B254" i="2"/>
  <c r="B350" i="2"/>
  <c r="B462" i="2"/>
  <c r="B207" i="2"/>
  <c r="B287" i="2"/>
  <c r="B415" i="2"/>
  <c r="B559" i="2"/>
  <c r="B128" i="2"/>
  <c r="B224" i="2"/>
  <c r="B352" i="2"/>
  <c r="B464" i="2"/>
  <c r="B17" i="2"/>
  <c r="B193" i="2"/>
  <c r="B337" i="2"/>
  <c r="B481" i="2"/>
  <c r="B18" i="2"/>
  <c r="B146" i="2"/>
  <c r="B274" i="2"/>
  <c r="B8" i="2"/>
  <c r="B24" i="2"/>
  <c r="B40" i="2"/>
  <c r="B56" i="2"/>
  <c r="B72" i="2"/>
  <c r="B88" i="2"/>
  <c r="B104" i="2"/>
  <c r="B120" i="2"/>
  <c r="B136" i="2"/>
  <c r="B152" i="2"/>
  <c r="B168" i="2"/>
  <c r="B184" i="2"/>
  <c r="B200" i="2"/>
  <c r="B216" i="2"/>
  <c r="B232" i="2"/>
  <c r="B248" i="2"/>
  <c r="B264" i="2"/>
  <c r="B280" i="2"/>
  <c r="B296" i="2"/>
  <c r="B312" i="2"/>
  <c r="B328" i="2"/>
  <c r="B344" i="2"/>
  <c r="B360" i="2"/>
  <c r="B376" i="2"/>
  <c r="B392" i="2"/>
  <c r="B408" i="2"/>
  <c r="B424" i="2"/>
  <c r="B440" i="2"/>
  <c r="B456" i="2"/>
  <c r="B472" i="2"/>
  <c r="B488" i="2"/>
  <c r="B504" i="2"/>
  <c r="B520" i="2"/>
  <c r="B536" i="2"/>
  <c r="B552" i="2"/>
  <c r="B25" i="2"/>
  <c r="B41" i="2"/>
  <c r="B89" i="2"/>
  <c r="B121" i="2"/>
  <c r="B153" i="2"/>
  <c r="B185" i="2"/>
  <c r="B233" i="2"/>
  <c r="B281" i="2"/>
  <c r="B329" i="2"/>
  <c r="B425" i="2"/>
  <c r="B505" i="2"/>
  <c r="B26" i="2"/>
  <c r="B106" i="2"/>
  <c r="B186" i="2"/>
  <c r="B282" i="2"/>
  <c r="B362" i="2"/>
  <c r="B442" i="2"/>
  <c r="B506" i="2"/>
  <c r="B379" i="2"/>
  <c r="B491" i="2"/>
  <c r="B44" i="2"/>
  <c r="B124" i="2"/>
  <c r="B252" i="2"/>
  <c r="B348" i="2"/>
  <c r="B476" i="2"/>
  <c r="B13" i="2"/>
  <c r="B189" i="2"/>
  <c r="B317" i="2"/>
  <c r="B429" i="2"/>
  <c r="B509" i="2"/>
  <c r="B94" i="2"/>
  <c r="B190" i="2"/>
  <c r="B302" i="2"/>
  <c r="B414" i="2"/>
  <c r="B510" i="2"/>
  <c r="B143" i="2"/>
  <c r="B367" i="2"/>
  <c r="B543" i="2"/>
  <c r="B112" i="2"/>
  <c r="B208" i="2"/>
  <c r="B368" i="2"/>
  <c r="B480" i="2"/>
  <c r="B33" i="2"/>
  <c r="B177" i="2"/>
  <c r="B321" i="2"/>
  <c r="B449" i="2"/>
  <c r="B34" i="2"/>
  <c r="B130" i="2"/>
  <c r="B258" i="2"/>
  <c r="B11" i="2"/>
  <c r="B27" i="2"/>
  <c r="B43" i="2"/>
  <c r="B59" i="2"/>
  <c r="B75" i="2"/>
  <c r="B91" i="2"/>
  <c r="B107" i="2"/>
  <c r="B123" i="2"/>
  <c r="B139" i="2"/>
  <c r="B155" i="2"/>
  <c r="B171" i="2"/>
  <c r="B187" i="2"/>
  <c r="B203" i="2"/>
  <c r="B219" i="2"/>
  <c r="B235" i="2"/>
  <c r="B251" i="2"/>
  <c r="B267" i="2"/>
  <c r="B283" i="2"/>
  <c r="B299" i="2"/>
  <c r="B315" i="2"/>
  <c r="B331" i="2"/>
  <c r="B411" i="2"/>
  <c r="B555" i="2"/>
  <c r="B108" i="2"/>
  <c r="B172" i="2"/>
  <c r="B284" i="2"/>
  <c r="B380" i="2"/>
  <c r="B492" i="2"/>
  <c r="B29" i="2"/>
  <c r="B125" i="2"/>
  <c r="B253" i="2"/>
  <c r="B381" i="2"/>
  <c r="B493" i="2"/>
  <c r="B78" i="2"/>
  <c r="B158" i="2"/>
  <c r="B270" i="2"/>
  <c r="B366" i="2"/>
  <c r="B494" i="2"/>
  <c r="B223" i="2"/>
  <c r="B335" i="2"/>
  <c r="B479" i="2"/>
  <c r="B80" i="2"/>
  <c r="B192" i="2"/>
  <c r="B320" i="2"/>
  <c r="B432" i="2"/>
  <c r="B560" i="2"/>
  <c r="B97" i="2"/>
  <c r="B241" i="2"/>
  <c r="B369" i="2"/>
  <c r="B497" i="2"/>
  <c r="B2" i="2"/>
  <c r="B226" i="2"/>
  <c r="B220" i="2"/>
  <c r="B14" i="2"/>
  <c r="B222" i="2"/>
  <c r="B398" i="2"/>
  <c r="B526" i="2"/>
  <c r="B271" i="2"/>
  <c r="B383" i="2"/>
  <c r="B495" i="2"/>
  <c r="B32" i="2"/>
  <c r="B160" i="2"/>
  <c r="B336" i="2"/>
  <c r="B496" i="2"/>
  <c r="B65" i="2"/>
  <c r="B145" i="2"/>
  <c r="B289" i="2"/>
  <c r="B417" i="2"/>
  <c r="B529" i="2"/>
  <c r="B82" i="2"/>
  <c r="B194" i="2"/>
  <c r="B290" i="2"/>
  <c r="B15" i="2"/>
  <c r="B31" i="2"/>
  <c r="B47" i="2"/>
  <c r="B63" i="2"/>
  <c r="B79" i="2"/>
  <c r="B95" i="2"/>
  <c r="B111" i="2"/>
  <c r="B127" i="2"/>
  <c r="B239" i="2"/>
  <c r="B431" i="2"/>
  <c r="B288" i="2"/>
  <c r="B528" i="2"/>
  <c r="B129" i="2"/>
  <c r="B257" i="2"/>
  <c r="B385" i="2"/>
  <c r="B561" i="2"/>
  <c r="B114" i="2"/>
  <c r="B242" i="2"/>
  <c r="B354" i="2"/>
  <c r="B370" i="2"/>
  <c r="B386" i="2"/>
  <c r="B402" i="2"/>
  <c r="B418" i="2"/>
  <c r="B434" i="2"/>
  <c r="B450" i="2"/>
  <c r="B466" i="2"/>
  <c r="B482" i="2"/>
  <c r="B498" i="2"/>
  <c r="B514" i="2"/>
  <c r="B530" i="2"/>
  <c r="B546" i="2"/>
  <c r="B162" i="2"/>
  <c r="B338" i="2"/>
  <c r="E49" i="3"/>
  <c r="E305" i="3"/>
  <c r="E497" i="3"/>
  <c r="E561" i="3"/>
  <c r="E626" i="3"/>
  <c r="E156" i="3"/>
  <c r="E493" i="3"/>
  <c r="E16" i="3"/>
  <c r="E596" i="3"/>
  <c r="E634" i="3"/>
  <c r="E477" i="3"/>
  <c r="E5" i="3"/>
  <c r="E373" i="3"/>
  <c r="E517" i="3"/>
  <c r="E10" i="3"/>
  <c r="E662" i="3"/>
  <c r="E379" i="3"/>
  <c r="E351" i="3"/>
  <c r="E255" i="3"/>
  <c r="E376" i="3"/>
  <c r="E392" i="3"/>
  <c r="E185" i="3"/>
  <c r="E364" i="3"/>
  <c r="E125" i="3"/>
  <c r="E416" i="3"/>
  <c r="E478" i="3"/>
  <c r="E528" i="3"/>
  <c r="D284" i="2"/>
  <c r="D318" i="2"/>
  <c r="D86" i="2"/>
  <c r="D438" i="2"/>
  <c r="D202" i="2"/>
  <c r="D430" i="2"/>
  <c r="E357" i="3"/>
  <c r="E405" i="3"/>
  <c r="E283" i="3"/>
  <c r="E201" i="3"/>
  <c r="E251" i="3"/>
  <c r="E247" i="3"/>
  <c r="E186" i="3"/>
  <c r="E234" i="3"/>
  <c r="E26" i="3"/>
  <c r="E132" i="3"/>
  <c r="E515" i="3"/>
  <c r="E335" i="3"/>
  <c r="E638" i="3"/>
  <c r="D161" i="2"/>
  <c r="D417" i="2"/>
  <c r="D463" i="2"/>
  <c r="D182" i="2"/>
  <c r="D342" i="2"/>
  <c r="D296" i="2"/>
  <c r="D458" i="2"/>
  <c r="D196" i="2"/>
  <c r="D452" i="2"/>
  <c r="D191" i="2"/>
  <c r="D149" i="2"/>
  <c r="D119" i="2"/>
  <c r="D375" i="2"/>
  <c r="D127" i="2"/>
  <c r="D8" i="2"/>
  <c r="D46" i="2"/>
  <c r="D27" i="2"/>
  <c r="A17" i="2"/>
  <c r="A33" i="2"/>
  <c r="A49" i="2"/>
  <c r="A65" i="2"/>
  <c r="A81" i="2"/>
  <c r="A97" i="2"/>
  <c r="A113" i="2"/>
  <c r="A129" i="2"/>
  <c r="A145" i="2"/>
  <c r="A161" i="2"/>
  <c r="A177" i="2"/>
  <c r="A193" i="2"/>
  <c r="A209" i="2"/>
  <c r="A225" i="2"/>
  <c r="A241" i="2"/>
  <c r="A257" i="2"/>
  <c r="A273" i="2"/>
  <c r="A289" i="2"/>
  <c r="A305" i="2"/>
  <c r="A321" i="2"/>
  <c r="A337" i="2"/>
  <c r="A353" i="2"/>
  <c r="A369" i="2"/>
  <c r="A385" i="2"/>
  <c r="A401" i="2"/>
  <c r="A417" i="2"/>
  <c r="A433" i="2"/>
  <c r="A449" i="2"/>
  <c r="A465" i="2"/>
  <c r="A481" i="2"/>
  <c r="A497" i="2"/>
  <c r="A513" i="2"/>
  <c r="A529" i="2"/>
  <c r="A545" i="2"/>
  <c r="A561" i="2"/>
  <c r="A502" i="2"/>
  <c r="A7" i="2"/>
  <c r="A199" i="2"/>
  <c r="A423" i="2"/>
  <c r="A168" i="2"/>
  <c r="A360" i="2"/>
  <c r="A552" i="2"/>
  <c r="A2" i="2"/>
  <c r="A18" i="2"/>
  <c r="A34" i="2"/>
  <c r="A50" i="2"/>
  <c r="A66" i="2"/>
  <c r="A82" i="2"/>
  <c r="A98" i="2"/>
  <c r="A114" i="2"/>
  <c r="A130" i="2"/>
  <c r="A146" i="2"/>
  <c r="A162" i="2"/>
  <c r="A178" i="2"/>
  <c r="A194" i="2"/>
  <c r="A210" i="2"/>
  <c r="A226" i="2"/>
  <c r="A242" i="2"/>
  <c r="A258" i="2"/>
  <c r="A274" i="2"/>
  <c r="A290" i="2"/>
  <c r="A306" i="2"/>
  <c r="A322" i="2"/>
  <c r="A338" i="2"/>
  <c r="A354" i="2"/>
  <c r="A370" i="2"/>
  <c r="A386" i="2"/>
  <c r="A402" i="2"/>
  <c r="A418" i="2"/>
  <c r="A434" i="2"/>
  <c r="A450" i="2"/>
  <c r="A466" i="2"/>
  <c r="A482" i="2"/>
  <c r="A498" i="2"/>
  <c r="A514" i="2"/>
  <c r="A530" i="2"/>
  <c r="A546" i="2"/>
  <c r="A37" i="2"/>
  <c r="A53" i="2"/>
  <c r="A101" i="2"/>
  <c r="A149" i="2"/>
  <c r="A197" i="2"/>
  <c r="A245" i="2"/>
  <c r="A277" i="2"/>
  <c r="A325" i="2"/>
  <c r="A373" i="2"/>
  <c r="A437" i="2"/>
  <c r="A485" i="2"/>
  <c r="A533" i="2"/>
  <c r="A22" i="2"/>
  <c r="A102" i="2"/>
  <c r="A214" i="2"/>
  <c r="A278" i="2"/>
  <c r="A326" i="2"/>
  <c r="A374" i="2"/>
  <c r="A390" i="2"/>
  <c r="A438" i="2"/>
  <c r="A470" i="2"/>
  <c r="A550" i="2"/>
  <c r="A39" i="2"/>
  <c r="A135" i="2"/>
  <c r="A247" i="2"/>
  <c r="A343" i="2"/>
  <c r="A455" i="2"/>
  <c r="A24" i="2"/>
  <c r="A232" i="2"/>
  <c r="A408" i="2"/>
  <c r="A3" i="2"/>
  <c r="A19" i="2"/>
  <c r="A35" i="2"/>
  <c r="A51" i="2"/>
  <c r="A67" i="2"/>
  <c r="A83" i="2"/>
  <c r="A99" i="2"/>
  <c r="A115" i="2"/>
  <c r="A131" i="2"/>
  <c r="A147" i="2"/>
  <c r="A163" i="2"/>
  <c r="A179" i="2"/>
  <c r="A195" i="2"/>
  <c r="A211" i="2"/>
  <c r="A227" i="2"/>
  <c r="A243" i="2"/>
  <c r="A259" i="2"/>
  <c r="A275" i="2"/>
  <c r="A291" i="2"/>
  <c r="A307" i="2"/>
  <c r="A323" i="2"/>
  <c r="A339" i="2"/>
  <c r="A355" i="2"/>
  <c r="A371" i="2"/>
  <c r="A387" i="2"/>
  <c r="A403" i="2"/>
  <c r="A419" i="2"/>
  <c r="A435" i="2"/>
  <c r="A451" i="2"/>
  <c r="A467" i="2"/>
  <c r="A483" i="2"/>
  <c r="A499" i="2"/>
  <c r="A515" i="2"/>
  <c r="A531" i="2"/>
  <c r="A547" i="2"/>
  <c r="A21" i="2"/>
  <c r="A85" i="2"/>
  <c r="A133" i="2"/>
  <c r="A181" i="2"/>
  <c r="A213" i="2"/>
  <c r="A261" i="2"/>
  <c r="A309" i="2"/>
  <c r="A357" i="2"/>
  <c r="A389" i="2"/>
  <c r="A421" i="2"/>
  <c r="A453" i="2"/>
  <c r="A501" i="2"/>
  <c r="A38" i="2"/>
  <c r="A118" i="2"/>
  <c r="A246" i="2"/>
  <c r="A310" i="2"/>
  <c r="A358" i="2"/>
  <c r="A422" i="2"/>
  <c r="A518" i="2"/>
  <c r="A55" i="2"/>
  <c r="A119" i="2"/>
  <c r="A215" i="2"/>
  <c r="A359" i="2"/>
  <c r="A519" i="2"/>
  <c r="A104" i="2"/>
  <c r="A200" i="2"/>
  <c r="A312" i="2"/>
  <c r="A424" i="2"/>
  <c r="A536" i="2"/>
  <c r="A4" i="2"/>
  <c r="A20" i="2"/>
  <c r="A36" i="2"/>
  <c r="A52" i="2"/>
  <c r="A68" i="2"/>
  <c r="A84" i="2"/>
  <c r="A100" i="2"/>
  <c r="A116" i="2"/>
  <c r="A132" i="2"/>
  <c r="A148" i="2"/>
  <c r="A164" i="2"/>
  <c r="A180" i="2"/>
  <c r="A196" i="2"/>
  <c r="A212" i="2"/>
  <c r="A228" i="2"/>
  <c r="A244" i="2"/>
  <c r="A260" i="2"/>
  <c r="A276" i="2"/>
  <c r="A292" i="2"/>
  <c r="A308" i="2"/>
  <c r="A324" i="2"/>
  <c r="A340" i="2"/>
  <c r="A356" i="2"/>
  <c r="A372" i="2"/>
  <c r="A388" i="2"/>
  <c r="A404" i="2"/>
  <c r="A420" i="2"/>
  <c r="A436" i="2"/>
  <c r="A452" i="2"/>
  <c r="A468" i="2"/>
  <c r="A484" i="2"/>
  <c r="A500" i="2"/>
  <c r="A516" i="2"/>
  <c r="A532" i="2"/>
  <c r="A548" i="2"/>
  <c r="A5" i="2"/>
  <c r="A69" i="2"/>
  <c r="A117" i="2"/>
  <c r="A165" i="2"/>
  <c r="A229" i="2"/>
  <c r="A293" i="2"/>
  <c r="A341" i="2"/>
  <c r="A405" i="2"/>
  <c r="A469" i="2"/>
  <c r="A517" i="2"/>
  <c r="A549" i="2"/>
  <c r="A54" i="2"/>
  <c r="A86" i="2"/>
  <c r="A134" i="2"/>
  <c r="A150" i="2"/>
  <c r="A166" i="2"/>
  <c r="A182" i="2"/>
  <c r="A198" i="2"/>
  <c r="A230" i="2"/>
  <c r="A262" i="2"/>
  <c r="A294" i="2"/>
  <c r="A342" i="2"/>
  <c r="A406" i="2"/>
  <c r="A454" i="2"/>
  <c r="A486" i="2"/>
  <c r="A534" i="2"/>
  <c r="A23" i="2"/>
  <c r="A103" i="2"/>
  <c r="A151" i="2"/>
  <c r="A295" i="2"/>
  <c r="A375" i="2"/>
  <c r="A503" i="2"/>
  <c r="A72" i="2"/>
  <c r="A280" i="2"/>
  <c r="A504" i="2"/>
  <c r="A6" i="2"/>
  <c r="A70" i="2"/>
  <c r="A87" i="2"/>
  <c r="A8" i="2"/>
  <c r="A9" i="2"/>
  <c r="A25" i="2"/>
  <c r="A41" i="2"/>
  <c r="A57" i="2"/>
  <c r="A73" i="2"/>
  <c r="A89" i="2"/>
  <c r="A105" i="2"/>
  <c r="A121" i="2"/>
  <c r="A137" i="2"/>
  <c r="A153" i="2"/>
  <c r="A169" i="2"/>
  <c r="A185" i="2"/>
  <c r="A201" i="2"/>
  <c r="A217" i="2"/>
  <c r="A233" i="2"/>
  <c r="A249" i="2"/>
  <c r="A265" i="2"/>
  <c r="A281" i="2"/>
  <c r="A297" i="2"/>
  <c r="A313" i="2"/>
  <c r="A329" i="2"/>
  <c r="A345" i="2"/>
  <c r="A361" i="2"/>
  <c r="A377" i="2"/>
  <c r="A393" i="2"/>
  <c r="A409" i="2"/>
  <c r="A425" i="2"/>
  <c r="A441" i="2"/>
  <c r="A457" i="2"/>
  <c r="A473" i="2"/>
  <c r="A489" i="2"/>
  <c r="A505" i="2"/>
  <c r="A521" i="2"/>
  <c r="A537" i="2"/>
  <c r="A553" i="2"/>
  <c r="A124" i="2"/>
  <c r="A316" i="2"/>
  <c r="A460" i="2"/>
  <c r="A94" i="2"/>
  <c r="A270" i="2"/>
  <c r="A398" i="2"/>
  <c r="A510" i="2"/>
  <c r="A79" i="2"/>
  <c r="A239" i="2"/>
  <c r="A383" i="2"/>
  <c r="A527" i="2"/>
  <c r="A311" i="2"/>
  <c r="A551" i="2"/>
  <c r="A152" i="2"/>
  <c r="A392" i="2"/>
  <c r="A10" i="2"/>
  <c r="A26" i="2"/>
  <c r="A42" i="2"/>
  <c r="A58" i="2"/>
  <c r="A74" i="2"/>
  <c r="A90" i="2"/>
  <c r="A106" i="2"/>
  <c r="A122" i="2"/>
  <c r="A138" i="2"/>
  <c r="A154" i="2"/>
  <c r="A170" i="2"/>
  <c r="A186" i="2"/>
  <c r="A202" i="2"/>
  <c r="A218" i="2"/>
  <c r="A234" i="2"/>
  <c r="A250" i="2"/>
  <c r="A266" i="2"/>
  <c r="A282" i="2"/>
  <c r="A298" i="2"/>
  <c r="A314" i="2"/>
  <c r="A330" i="2"/>
  <c r="A346" i="2"/>
  <c r="A362" i="2"/>
  <c r="A378" i="2"/>
  <c r="A394" i="2"/>
  <c r="A410" i="2"/>
  <c r="A426" i="2"/>
  <c r="A442" i="2"/>
  <c r="A458" i="2"/>
  <c r="A474" i="2"/>
  <c r="A490" i="2"/>
  <c r="A506" i="2"/>
  <c r="A522" i="2"/>
  <c r="A538" i="2"/>
  <c r="A554" i="2"/>
  <c r="A140" i="2"/>
  <c r="A220" i="2"/>
  <c r="A268" i="2"/>
  <c r="A300" i="2"/>
  <c r="A364" i="2"/>
  <c r="A396" i="2"/>
  <c r="A444" i="2"/>
  <c r="A492" i="2"/>
  <c r="A540" i="2"/>
  <c r="A30" i="2"/>
  <c r="A142" i="2"/>
  <c r="A222" i="2"/>
  <c r="A302" i="2"/>
  <c r="A366" i="2"/>
  <c r="A446" i="2"/>
  <c r="A526" i="2"/>
  <c r="A31" i="2"/>
  <c r="A111" i="2"/>
  <c r="A191" i="2"/>
  <c r="A303" i="2"/>
  <c r="A367" i="2"/>
  <c r="A447" i="2"/>
  <c r="A511" i="2"/>
  <c r="A231" i="2"/>
  <c r="A471" i="2"/>
  <c r="A120" i="2"/>
  <c r="A216" i="2"/>
  <c r="A328" i="2"/>
  <c r="A472" i="2"/>
  <c r="A11" i="2"/>
  <c r="A27" i="2"/>
  <c r="A43" i="2"/>
  <c r="A59" i="2"/>
  <c r="A75" i="2"/>
  <c r="A91" i="2"/>
  <c r="A107" i="2"/>
  <c r="A123" i="2"/>
  <c r="A139" i="2"/>
  <c r="A155" i="2"/>
  <c r="A171" i="2"/>
  <c r="A187" i="2"/>
  <c r="A203" i="2"/>
  <c r="A219" i="2"/>
  <c r="A235" i="2"/>
  <c r="A251" i="2"/>
  <c r="A267" i="2"/>
  <c r="A283" i="2"/>
  <c r="A299" i="2"/>
  <c r="A315" i="2"/>
  <c r="A331" i="2"/>
  <c r="A347" i="2"/>
  <c r="A363" i="2"/>
  <c r="A379" i="2"/>
  <c r="A395" i="2"/>
  <c r="A411" i="2"/>
  <c r="A427" i="2"/>
  <c r="A443" i="2"/>
  <c r="A459" i="2"/>
  <c r="A475" i="2"/>
  <c r="A491" i="2"/>
  <c r="A507" i="2"/>
  <c r="A523" i="2"/>
  <c r="A539" i="2"/>
  <c r="A555" i="2"/>
  <c r="A108" i="2"/>
  <c r="A252" i="2"/>
  <c r="A332" i="2"/>
  <c r="A380" i="2"/>
  <c r="A428" i="2"/>
  <c r="A476" i="2"/>
  <c r="A524" i="2"/>
  <c r="A556" i="2"/>
  <c r="A46" i="2"/>
  <c r="A158" i="2"/>
  <c r="A206" i="2"/>
  <c r="A254" i="2"/>
  <c r="A334" i="2"/>
  <c r="A382" i="2"/>
  <c r="A462" i="2"/>
  <c r="A558" i="2"/>
  <c r="A47" i="2"/>
  <c r="A159" i="2"/>
  <c r="A255" i="2"/>
  <c r="A335" i="2"/>
  <c r="A415" i="2"/>
  <c r="A479" i="2"/>
  <c r="A543" i="2"/>
  <c r="A183" i="2"/>
  <c r="A391" i="2"/>
  <c r="A56" i="2"/>
  <c r="A264" i="2"/>
  <c r="A456" i="2"/>
  <c r="A12" i="2"/>
  <c r="A28" i="2"/>
  <c r="A44" i="2"/>
  <c r="A60" i="2"/>
  <c r="A76" i="2"/>
  <c r="A92" i="2"/>
  <c r="A156" i="2"/>
  <c r="A172" i="2"/>
  <c r="A188" i="2"/>
  <c r="A204" i="2"/>
  <c r="A236" i="2"/>
  <c r="A284" i="2"/>
  <c r="A348" i="2"/>
  <c r="A412" i="2"/>
  <c r="A508" i="2"/>
  <c r="A78" i="2"/>
  <c r="A190" i="2"/>
  <c r="A286" i="2"/>
  <c r="A350" i="2"/>
  <c r="A430" i="2"/>
  <c r="A494" i="2"/>
  <c r="A15" i="2"/>
  <c r="A95" i="2"/>
  <c r="A143" i="2"/>
  <c r="A207" i="2"/>
  <c r="A271" i="2"/>
  <c r="A351" i="2"/>
  <c r="A431" i="2"/>
  <c r="A495" i="2"/>
  <c r="A279" i="2"/>
  <c r="A439" i="2"/>
  <c r="A88" i="2"/>
  <c r="A184" i="2"/>
  <c r="A344" i="2"/>
  <c r="A488" i="2"/>
  <c r="A13" i="2"/>
  <c r="A29" i="2"/>
  <c r="A45" i="2"/>
  <c r="A61" i="2"/>
  <c r="A77" i="2"/>
  <c r="A93" i="2"/>
  <c r="A109" i="2"/>
  <c r="A125" i="2"/>
  <c r="A141" i="2"/>
  <c r="A157" i="2"/>
  <c r="A173" i="2"/>
  <c r="A189" i="2"/>
  <c r="A205" i="2"/>
  <c r="A221" i="2"/>
  <c r="A237" i="2"/>
  <c r="A253" i="2"/>
  <c r="A269" i="2"/>
  <c r="A285" i="2"/>
  <c r="A301" i="2"/>
  <c r="A317" i="2"/>
  <c r="A333" i="2"/>
  <c r="A349" i="2"/>
  <c r="A365" i="2"/>
  <c r="A381" i="2"/>
  <c r="A397" i="2"/>
  <c r="A413" i="2"/>
  <c r="A429" i="2"/>
  <c r="A445" i="2"/>
  <c r="A461" i="2"/>
  <c r="A477" i="2"/>
  <c r="A493" i="2"/>
  <c r="A509" i="2"/>
  <c r="A525" i="2"/>
  <c r="A541" i="2"/>
  <c r="A557" i="2"/>
  <c r="A14" i="2"/>
  <c r="A62" i="2"/>
  <c r="A110" i="2"/>
  <c r="A126" i="2"/>
  <c r="A174" i="2"/>
  <c r="A238" i="2"/>
  <c r="A318" i="2"/>
  <c r="A414" i="2"/>
  <c r="A478" i="2"/>
  <c r="A542" i="2"/>
  <c r="A63" i="2"/>
  <c r="A127" i="2"/>
  <c r="A175" i="2"/>
  <c r="A223" i="2"/>
  <c r="A287" i="2"/>
  <c r="A319" i="2"/>
  <c r="A399" i="2"/>
  <c r="A463" i="2"/>
  <c r="A559" i="2"/>
  <c r="A263" i="2"/>
  <c r="A487" i="2"/>
  <c r="A136" i="2"/>
  <c r="A296" i="2"/>
  <c r="A376" i="2"/>
  <c r="A520" i="2"/>
  <c r="A16" i="2"/>
  <c r="A32" i="2"/>
  <c r="A48" i="2"/>
  <c r="A64" i="2"/>
  <c r="A80" i="2"/>
  <c r="A96" i="2"/>
  <c r="A112" i="2"/>
  <c r="A128" i="2"/>
  <c r="A144" i="2"/>
  <c r="A160" i="2"/>
  <c r="A176" i="2"/>
  <c r="A192" i="2"/>
  <c r="A208" i="2"/>
  <c r="A224" i="2"/>
  <c r="A240" i="2"/>
  <c r="A256" i="2"/>
  <c r="A272" i="2"/>
  <c r="A288" i="2"/>
  <c r="A304" i="2"/>
  <c r="A320" i="2"/>
  <c r="A336" i="2"/>
  <c r="A352" i="2"/>
  <c r="A368" i="2"/>
  <c r="A384" i="2"/>
  <c r="A400" i="2"/>
  <c r="A416" i="2"/>
  <c r="A432" i="2"/>
  <c r="A448" i="2"/>
  <c r="A464" i="2"/>
  <c r="A480" i="2"/>
  <c r="A496" i="2"/>
  <c r="A512" i="2"/>
  <c r="A528" i="2"/>
  <c r="A544" i="2"/>
  <c r="A560" i="2"/>
  <c r="A71" i="2"/>
  <c r="A167" i="2"/>
  <c r="A327" i="2"/>
  <c r="A407" i="2"/>
  <c r="A535" i="2"/>
  <c r="A40" i="2"/>
  <c r="A248" i="2"/>
  <c r="A440" i="2"/>
  <c r="A17" i="3"/>
  <c r="A33" i="3"/>
  <c r="A49" i="3"/>
  <c r="A65" i="3"/>
  <c r="A81" i="3"/>
  <c r="A97" i="3"/>
  <c r="A113" i="3"/>
  <c r="A129" i="3"/>
  <c r="A145" i="3"/>
  <c r="A161" i="3"/>
  <c r="A177" i="3"/>
  <c r="A193" i="3"/>
  <c r="A209" i="3"/>
  <c r="A225" i="3"/>
  <c r="A241" i="3"/>
  <c r="A257" i="3"/>
  <c r="A273" i="3"/>
  <c r="A289" i="3"/>
  <c r="A305" i="3"/>
  <c r="A321" i="3"/>
  <c r="A337" i="3"/>
  <c r="A353" i="3"/>
  <c r="A369" i="3"/>
  <c r="A385" i="3"/>
  <c r="A401" i="3"/>
  <c r="A417" i="3"/>
  <c r="A433" i="3"/>
  <c r="A449" i="3"/>
  <c r="A465" i="3"/>
  <c r="A481" i="3"/>
  <c r="A497" i="3"/>
  <c r="A513" i="3"/>
  <c r="A529" i="3"/>
  <c r="A545" i="3"/>
  <c r="A561" i="3"/>
  <c r="A577" i="3"/>
  <c r="A593" i="3"/>
  <c r="A609" i="3"/>
  <c r="A625" i="3"/>
  <c r="A641" i="3"/>
  <c r="A657" i="3"/>
  <c r="A673" i="3"/>
  <c r="A531" i="3"/>
  <c r="A595" i="3"/>
  <c r="A643" i="3"/>
  <c r="A614" i="3"/>
  <c r="A663" i="3"/>
  <c r="A232" i="3"/>
  <c r="A488" i="3"/>
  <c r="A680" i="3"/>
  <c r="A393" i="3"/>
  <c r="A505" i="3"/>
  <c r="A649" i="3"/>
  <c r="A650" i="3"/>
  <c r="A27" i="3"/>
  <c r="A363" i="3"/>
  <c r="A635" i="3"/>
  <c r="A156" i="3"/>
  <c r="A428" i="3"/>
  <c r="A652" i="3"/>
  <c r="A141" i="3"/>
  <c r="A237" i="3"/>
  <c r="A365" i="3"/>
  <c r="A509" i="3"/>
  <c r="A94" i="3"/>
  <c r="A238" i="3"/>
  <c r="A382" i="3"/>
  <c r="A574" i="3"/>
  <c r="A143" i="3"/>
  <c r="A255" i="3"/>
  <c r="A383" i="3"/>
  <c r="A511" i="3"/>
  <c r="A607" i="3"/>
  <c r="A64" i="3"/>
  <c r="A240" i="3"/>
  <c r="A384" i="3"/>
  <c r="A560" i="3"/>
  <c r="A2" i="3"/>
  <c r="A18" i="3"/>
  <c r="A34" i="3"/>
  <c r="A50" i="3"/>
  <c r="A66" i="3"/>
  <c r="A82" i="3"/>
  <c r="A98" i="3"/>
  <c r="A114" i="3"/>
  <c r="A130" i="3"/>
  <c r="A146" i="3"/>
  <c r="A162" i="3"/>
  <c r="A178" i="3"/>
  <c r="A194" i="3"/>
  <c r="A210" i="3"/>
  <c r="A226" i="3"/>
  <c r="A242" i="3"/>
  <c r="A258" i="3"/>
  <c r="A274" i="3"/>
  <c r="A290" i="3"/>
  <c r="A306" i="3"/>
  <c r="A322" i="3"/>
  <c r="A338" i="3"/>
  <c r="A354" i="3"/>
  <c r="A370" i="3"/>
  <c r="A386" i="3"/>
  <c r="A402" i="3"/>
  <c r="A418" i="3"/>
  <c r="A434" i="3"/>
  <c r="A450" i="3"/>
  <c r="A466" i="3"/>
  <c r="A482" i="3"/>
  <c r="A498" i="3"/>
  <c r="A514" i="3"/>
  <c r="A530" i="3"/>
  <c r="A546" i="3"/>
  <c r="A562" i="3"/>
  <c r="A578" i="3"/>
  <c r="A594" i="3"/>
  <c r="A610" i="3"/>
  <c r="A626" i="3"/>
  <c r="A642" i="3"/>
  <c r="A658" i="3"/>
  <c r="A674" i="3"/>
  <c r="A563" i="3"/>
  <c r="A611" i="3"/>
  <c r="A659" i="3"/>
  <c r="A675" i="3"/>
  <c r="A630" i="3"/>
  <c r="A679" i="3"/>
  <c r="A248" i="3"/>
  <c r="A456" i="3"/>
  <c r="A600" i="3"/>
  <c r="A281" i="3"/>
  <c r="A521" i="3"/>
  <c r="A666" i="3"/>
  <c r="A123" i="3"/>
  <c r="A331" i="3"/>
  <c r="A491" i="3"/>
  <c r="A651" i="3"/>
  <c r="A124" i="3"/>
  <c r="A268" i="3"/>
  <c r="A380" i="3"/>
  <c r="A524" i="3"/>
  <c r="A61" i="3"/>
  <c r="A349" i="3"/>
  <c r="A589" i="3"/>
  <c r="A158" i="3"/>
  <c r="A350" i="3"/>
  <c r="A494" i="3"/>
  <c r="A638" i="3"/>
  <c r="A127" i="3"/>
  <c r="A367" i="3"/>
  <c r="A623" i="3"/>
  <c r="A160" i="3"/>
  <c r="A448" i="3"/>
  <c r="A3" i="3"/>
  <c r="A19" i="3"/>
  <c r="A35" i="3"/>
  <c r="A51" i="3"/>
  <c r="A67" i="3"/>
  <c r="A83" i="3"/>
  <c r="A99" i="3"/>
  <c r="A115" i="3"/>
  <c r="A131" i="3"/>
  <c r="A147" i="3"/>
  <c r="A163" i="3"/>
  <c r="A179" i="3"/>
  <c r="A195" i="3"/>
  <c r="A211" i="3"/>
  <c r="A227" i="3"/>
  <c r="A243" i="3"/>
  <c r="A259" i="3"/>
  <c r="A275" i="3"/>
  <c r="A291" i="3"/>
  <c r="A307" i="3"/>
  <c r="A323" i="3"/>
  <c r="A339" i="3"/>
  <c r="A355" i="3"/>
  <c r="A371" i="3"/>
  <c r="A387" i="3"/>
  <c r="A403" i="3"/>
  <c r="A419" i="3"/>
  <c r="A435" i="3"/>
  <c r="A451" i="3"/>
  <c r="A467" i="3"/>
  <c r="A483" i="3"/>
  <c r="A499" i="3"/>
  <c r="A515" i="3"/>
  <c r="A547" i="3"/>
  <c r="A579" i="3"/>
  <c r="A627" i="3"/>
  <c r="A646" i="3"/>
  <c r="A216" i="3"/>
  <c r="A392" i="3"/>
  <c r="A504" i="3"/>
  <c r="A616" i="3"/>
  <c r="A329" i="3"/>
  <c r="A425" i="3"/>
  <c r="A553" i="3"/>
  <c r="A665" i="3"/>
  <c r="A59" i="3"/>
  <c r="A251" i="3"/>
  <c r="A427" i="3"/>
  <c r="A603" i="3"/>
  <c r="A92" i="3"/>
  <c r="A252" i="3"/>
  <c r="A396" i="3"/>
  <c r="A556" i="3"/>
  <c r="A109" i="3"/>
  <c r="A269" i="3"/>
  <c r="A493" i="3"/>
  <c r="A653" i="3"/>
  <c r="A110" i="3"/>
  <c r="A254" i="3"/>
  <c r="A430" i="3"/>
  <c r="A606" i="3"/>
  <c r="A15" i="3"/>
  <c r="A319" i="3"/>
  <c r="A144" i="3"/>
  <c r="A320" i="3"/>
  <c r="A464" i="3"/>
  <c r="A608" i="3"/>
  <c r="A4" i="3"/>
  <c r="A20" i="3"/>
  <c r="A36" i="3"/>
  <c r="A52" i="3"/>
  <c r="A68" i="3"/>
  <c r="A84" i="3"/>
  <c r="A100" i="3"/>
  <c r="A116" i="3"/>
  <c r="A132" i="3"/>
  <c r="A148" i="3"/>
  <c r="A164" i="3"/>
  <c r="A180" i="3"/>
  <c r="A196" i="3"/>
  <c r="A212" i="3"/>
  <c r="A228" i="3"/>
  <c r="A244" i="3"/>
  <c r="A260" i="3"/>
  <c r="A276" i="3"/>
  <c r="A292" i="3"/>
  <c r="A308" i="3"/>
  <c r="A324" i="3"/>
  <c r="A340" i="3"/>
  <c r="A356" i="3"/>
  <c r="A372" i="3"/>
  <c r="A388" i="3"/>
  <c r="A404" i="3"/>
  <c r="A420" i="3"/>
  <c r="A436" i="3"/>
  <c r="A452" i="3"/>
  <c r="A468" i="3"/>
  <c r="A484" i="3"/>
  <c r="A500" i="3"/>
  <c r="A516" i="3"/>
  <c r="A532" i="3"/>
  <c r="A548" i="3"/>
  <c r="A564" i="3"/>
  <c r="A580" i="3"/>
  <c r="A596" i="3"/>
  <c r="A612" i="3"/>
  <c r="A628" i="3"/>
  <c r="A644" i="3"/>
  <c r="A660" i="3"/>
  <c r="A676" i="3"/>
  <c r="A406" i="3"/>
  <c r="A502" i="3"/>
  <c r="A534" i="3"/>
  <c r="A566" i="3"/>
  <c r="A678" i="3"/>
  <c r="A344" i="3"/>
  <c r="A552" i="3"/>
  <c r="A345" i="3"/>
  <c r="A537" i="3"/>
  <c r="A681" i="3"/>
  <c r="A75" i="3"/>
  <c r="A411" i="3"/>
  <c r="A140" i="3"/>
  <c r="A316" i="3"/>
  <c r="A540" i="3"/>
  <c r="A93" i="3"/>
  <c r="A253" i="3"/>
  <c r="A413" i="3"/>
  <c r="A621" i="3"/>
  <c r="A142" i="3"/>
  <c r="A286" i="3"/>
  <c r="A462" i="3"/>
  <c r="A111" i="3"/>
  <c r="A239" i="3"/>
  <c r="A415" i="3"/>
  <c r="A655" i="3"/>
  <c r="A128" i="3"/>
  <c r="A256" i="3"/>
  <c r="A432" i="3"/>
  <c r="A672" i="3"/>
  <c r="A5" i="3"/>
  <c r="A21" i="3"/>
  <c r="A37" i="3"/>
  <c r="A53" i="3"/>
  <c r="A69" i="3"/>
  <c r="A85" i="3"/>
  <c r="A101" i="3"/>
  <c r="A117" i="3"/>
  <c r="A133" i="3"/>
  <c r="A149" i="3"/>
  <c r="A165" i="3"/>
  <c r="A181" i="3"/>
  <c r="A197" i="3"/>
  <c r="A213" i="3"/>
  <c r="A229" i="3"/>
  <c r="A245" i="3"/>
  <c r="A261" i="3"/>
  <c r="A277" i="3"/>
  <c r="A293" i="3"/>
  <c r="A309" i="3"/>
  <c r="A325" i="3"/>
  <c r="A341" i="3"/>
  <c r="A357" i="3"/>
  <c r="A373" i="3"/>
  <c r="A389" i="3"/>
  <c r="A405" i="3"/>
  <c r="A421" i="3"/>
  <c r="A437" i="3"/>
  <c r="A453" i="3"/>
  <c r="A469" i="3"/>
  <c r="A485" i="3"/>
  <c r="A501" i="3"/>
  <c r="A517" i="3"/>
  <c r="A533" i="3"/>
  <c r="A549" i="3"/>
  <c r="A565" i="3"/>
  <c r="A581" i="3"/>
  <c r="A597" i="3"/>
  <c r="A613" i="3"/>
  <c r="A629" i="3"/>
  <c r="A645" i="3"/>
  <c r="A661" i="3"/>
  <c r="A677" i="3"/>
  <c r="A390" i="3"/>
  <c r="A486" i="3"/>
  <c r="A550" i="3"/>
  <c r="A598" i="3"/>
  <c r="A662" i="3"/>
  <c r="A264" i="3"/>
  <c r="A408" i="3"/>
  <c r="A536" i="3"/>
  <c r="A632" i="3"/>
  <c r="A297" i="3"/>
  <c r="A457" i="3"/>
  <c r="A633" i="3"/>
  <c r="A11" i="3"/>
  <c r="A219" i="3"/>
  <c r="A379" i="3"/>
  <c r="A523" i="3"/>
  <c r="A619" i="3"/>
  <c r="A28" i="3"/>
  <c r="A188" i="3"/>
  <c r="A332" i="3"/>
  <c r="A476" i="3"/>
  <c r="A620" i="3"/>
  <c r="A77" i="3"/>
  <c r="A205" i="3"/>
  <c r="A333" i="3"/>
  <c r="A477" i="3"/>
  <c r="A605" i="3"/>
  <c r="A30" i="3"/>
  <c r="A222" i="3"/>
  <c r="A398" i="3"/>
  <c r="A558" i="3"/>
  <c r="A670" i="3"/>
  <c r="A79" i="3"/>
  <c r="A191" i="3"/>
  <c r="A351" i="3"/>
  <c r="A479" i="3"/>
  <c r="A575" i="3"/>
  <c r="A48" i="3"/>
  <c r="A208" i="3"/>
  <c r="A352" i="3"/>
  <c r="A480" i="3"/>
  <c r="A640" i="3"/>
  <c r="A6" i="3"/>
  <c r="A22" i="3"/>
  <c r="A38" i="3"/>
  <c r="A54" i="3"/>
  <c r="A70" i="3"/>
  <c r="A86" i="3"/>
  <c r="A102" i="3"/>
  <c r="A118" i="3"/>
  <c r="A134" i="3"/>
  <c r="A150" i="3"/>
  <c r="A166" i="3"/>
  <c r="A182" i="3"/>
  <c r="A198" i="3"/>
  <c r="A214" i="3"/>
  <c r="A230" i="3"/>
  <c r="A246" i="3"/>
  <c r="A262" i="3"/>
  <c r="A278" i="3"/>
  <c r="A294" i="3"/>
  <c r="A310" i="3"/>
  <c r="A326" i="3"/>
  <c r="A342" i="3"/>
  <c r="A358" i="3"/>
  <c r="A374" i="3"/>
  <c r="A422" i="3"/>
  <c r="A438" i="3"/>
  <c r="A454" i="3"/>
  <c r="A470" i="3"/>
  <c r="A518" i="3"/>
  <c r="A582" i="3"/>
  <c r="A296" i="3"/>
  <c r="A424" i="3"/>
  <c r="A520" i="3"/>
  <c r="A648" i="3"/>
  <c r="A377" i="3"/>
  <c r="A489" i="3"/>
  <c r="A585" i="3"/>
  <c r="A602" i="3"/>
  <c r="A91" i="3"/>
  <c r="A187" i="3"/>
  <c r="A283" i="3"/>
  <c r="A443" i="3"/>
  <c r="A539" i="3"/>
  <c r="A44" i="3"/>
  <c r="A220" i="3"/>
  <c r="A364" i="3"/>
  <c r="A508" i="3"/>
  <c r="A636" i="3"/>
  <c r="A29" i="3"/>
  <c r="A221" i="3"/>
  <c r="A381" i="3"/>
  <c r="A525" i="3"/>
  <c r="A637" i="3"/>
  <c r="A46" i="3"/>
  <c r="A174" i="3"/>
  <c r="A334" i="3"/>
  <c r="A478" i="3"/>
  <c r="A622" i="3"/>
  <c r="A95" i="3"/>
  <c r="A175" i="3"/>
  <c r="A287" i="3"/>
  <c r="A431" i="3"/>
  <c r="A543" i="3"/>
  <c r="A80" i="3"/>
  <c r="A176" i="3"/>
  <c r="A304" i="3"/>
  <c r="A400" i="3"/>
  <c r="A544" i="3"/>
  <c r="A656" i="3"/>
  <c r="A7" i="3"/>
  <c r="A23" i="3"/>
  <c r="A39" i="3"/>
  <c r="A55" i="3"/>
  <c r="A71" i="3"/>
  <c r="A87" i="3"/>
  <c r="A103" i="3"/>
  <c r="A119" i="3"/>
  <c r="A135" i="3"/>
  <c r="A151" i="3"/>
  <c r="A167" i="3"/>
  <c r="A183" i="3"/>
  <c r="A199" i="3"/>
  <c r="A215" i="3"/>
  <c r="A231" i="3"/>
  <c r="A247" i="3"/>
  <c r="A263" i="3"/>
  <c r="A279" i="3"/>
  <c r="A295" i="3"/>
  <c r="A311" i="3"/>
  <c r="A327" i="3"/>
  <c r="A343" i="3"/>
  <c r="A359" i="3"/>
  <c r="A375" i="3"/>
  <c r="A391" i="3"/>
  <c r="A407" i="3"/>
  <c r="A423" i="3"/>
  <c r="A439" i="3"/>
  <c r="A455" i="3"/>
  <c r="A471" i="3"/>
  <c r="A487" i="3"/>
  <c r="A503" i="3"/>
  <c r="A519" i="3"/>
  <c r="A535" i="3"/>
  <c r="A551" i="3"/>
  <c r="A567" i="3"/>
  <c r="A583" i="3"/>
  <c r="A599" i="3"/>
  <c r="A615" i="3"/>
  <c r="A631" i="3"/>
  <c r="A647" i="3"/>
  <c r="A280" i="3"/>
  <c r="A376" i="3"/>
  <c r="A472" i="3"/>
  <c r="A584" i="3"/>
  <c r="A265" i="3"/>
  <c r="A441" i="3"/>
  <c r="A569" i="3"/>
  <c r="A43" i="3"/>
  <c r="A299" i="3"/>
  <c r="A507" i="3"/>
  <c r="A667" i="3"/>
  <c r="A108" i="3"/>
  <c r="A236" i="3"/>
  <c r="A412" i="3"/>
  <c r="A572" i="3"/>
  <c r="A125" i="3"/>
  <c r="A285" i="3"/>
  <c r="A445" i="3"/>
  <c r="A669" i="3"/>
  <c r="A126" i="3"/>
  <c r="A270" i="3"/>
  <c r="A446" i="3"/>
  <c r="A590" i="3"/>
  <c r="A31" i="3"/>
  <c r="A271" i="3"/>
  <c r="A495" i="3"/>
  <c r="A112" i="3"/>
  <c r="A336" i="3"/>
  <c r="A512" i="3"/>
  <c r="A8" i="3"/>
  <c r="A24" i="3"/>
  <c r="A40" i="3"/>
  <c r="A56" i="3"/>
  <c r="A72" i="3"/>
  <c r="A88" i="3"/>
  <c r="A104" i="3"/>
  <c r="A120" i="3"/>
  <c r="A136" i="3"/>
  <c r="A152" i="3"/>
  <c r="A168" i="3"/>
  <c r="A184" i="3"/>
  <c r="A200" i="3"/>
  <c r="A312" i="3"/>
  <c r="A328" i="3"/>
  <c r="A360" i="3"/>
  <c r="A440" i="3"/>
  <c r="A568" i="3"/>
  <c r="A664" i="3"/>
  <c r="A361" i="3"/>
  <c r="A473" i="3"/>
  <c r="A601" i="3"/>
  <c r="A618" i="3"/>
  <c r="A107" i="3"/>
  <c r="A171" i="3"/>
  <c r="A235" i="3"/>
  <c r="A315" i="3"/>
  <c r="A459" i="3"/>
  <c r="A555" i="3"/>
  <c r="A60" i="3"/>
  <c r="A172" i="3"/>
  <c r="A300" i="3"/>
  <c r="A444" i="3"/>
  <c r="A588" i="3"/>
  <c r="A45" i="3"/>
  <c r="A173" i="3"/>
  <c r="A317" i="3"/>
  <c r="A461" i="3"/>
  <c r="A573" i="3"/>
  <c r="A14" i="3"/>
  <c r="A206" i="3"/>
  <c r="A366" i="3"/>
  <c r="A526" i="3"/>
  <c r="A47" i="3"/>
  <c r="A223" i="3"/>
  <c r="A399" i="3"/>
  <c r="A527" i="3"/>
  <c r="A639" i="3"/>
  <c r="A96" i="3"/>
  <c r="A192" i="3"/>
  <c r="A288" i="3"/>
  <c r="A416" i="3"/>
  <c r="A528" i="3"/>
  <c r="A624" i="3"/>
  <c r="A9" i="3"/>
  <c r="A25" i="3"/>
  <c r="A41" i="3"/>
  <c r="A57" i="3"/>
  <c r="A73" i="3"/>
  <c r="A89" i="3"/>
  <c r="A105" i="3"/>
  <c r="A121" i="3"/>
  <c r="A137" i="3"/>
  <c r="A153" i="3"/>
  <c r="A169" i="3"/>
  <c r="A185" i="3"/>
  <c r="A201" i="3"/>
  <c r="A217" i="3"/>
  <c r="A233" i="3"/>
  <c r="A249" i="3"/>
  <c r="A313" i="3"/>
  <c r="A409" i="3"/>
  <c r="A617" i="3"/>
  <c r="A155" i="3"/>
  <c r="A395" i="3"/>
  <c r="A587" i="3"/>
  <c r="A76" i="3"/>
  <c r="A284" i="3"/>
  <c r="A460" i="3"/>
  <c r="A668" i="3"/>
  <c r="A157" i="3"/>
  <c r="A301" i="3"/>
  <c r="A429" i="3"/>
  <c r="A557" i="3"/>
  <c r="A62" i="3"/>
  <c r="A302" i="3"/>
  <c r="A510" i="3"/>
  <c r="A159" i="3"/>
  <c r="A303" i="3"/>
  <c r="A447" i="3"/>
  <c r="A559" i="3"/>
  <c r="A671" i="3"/>
  <c r="A16" i="3"/>
  <c r="A272" i="3"/>
  <c r="A576" i="3"/>
  <c r="A10" i="3"/>
  <c r="A26" i="3"/>
  <c r="A42" i="3"/>
  <c r="A58" i="3"/>
  <c r="A74" i="3"/>
  <c r="A90" i="3"/>
  <c r="A106" i="3"/>
  <c r="A122" i="3"/>
  <c r="A138" i="3"/>
  <c r="A154" i="3"/>
  <c r="A170" i="3"/>
  <c r="A186" i="3"/>
  <c r="A202" i="3"/>
  <c r="A218" i="3"/>
  <c r="A234" i="3"/>
  <c r="A250" i="3"/>
  <c r="A266" i="3"/>
  <c r="A282" i="3"/>
  <c r="A298" i="3"/>
  <c r="A314" i="3"/>
  <c r="A330" i="3"/>
  <c r="A346" i="3"/>
  <c r="A362" i="3"/>
  <c r="A378" i="3"/>
  <c r="A394" i="3"/>
  <c r="A410" i="3"/>
  <c r="A426" i="3"/>
  <c r="A442" i="3"/>
  <c r="A458" i="3"/>
  <c r="A474" i="3"/>
  <c r="A490" i="3"/>
  <c r="A506" i="3"/>
  <c r="A522" i="3"/>
  <c r="A538" i="3"/>
  <c r="A554" i="3"/>
  <c r="A570" i="3"/>
  <c r="A586" i="3"/>
  <c r="A634" i="3"/>
  <c r="A139" i="3"/>
  <c r="A203" i="3"/>
  <c r="A267" i="3"/>
  <c r="A347" i="3"/>
  <c r="A475" i="3"/>
  <c r="A571" i="3"/>
  <c r="A12" i="3"/>
  <c r="A204" i="3"/>
  <c r="A348" i="3"/>
  <c r="A492" i="3"/>
  <c r="A604" i="3"/>
  <c r="A13" i="3"/>
  <c r="A189" i="3"/>
  <c r="A397" i="3"/>
  <c r="A541" i="3"/>
  <c r="A78" i="3"/>
  <c r="A190" i="3"/>
  <c r="A318" i="3"/>
  <c r="A414" i="3"/>
  <c r="A542" i="3"/>
  <c r="A654" i="3"/>
  <c r="A63" i="3"/>
  <c r="A207" i="3"/>
  <c r="A335" i="3"/>
  <c r="A463" i="3"/>
  <c r="A591" i="3"/>
  <c r="A32" i="3"/>
  <c r="A224" i="3"/>
  <c r="A368" i="3"/>
  <c r="A496" i="3"/>
  <c r="A592" i="3"/>
  <c r="D529" i="2"/>
  <c r="D501" i="2"/>
  <c r="D420" i="2"/>
  <c r="D521" i="2"/>
  <c r="D336" i="2"/>
  <c r="E547" i="3"/>
  <c r="E2" i="3"/>
  <c r="H2" i="3" s="1"/>
  <c r="E98" i="3"/>
  <c r="E196" i="3"/>
  <c r="E377" i="3"/>
  <c r="E170" i="3"/>
  <c r="E298" i="3"/>
  <c r="E314" i="3"/>
  <c r="E570" i="3"/>
  <c r="E189" i="3"/>
  <c r="E43" i="3"/>
  <c r="E555" i="3"/>
  <c r="E511" i="3"/>
  <c r="E543" i="3"/>
  <c r="E334" i="3"/>
  <c r="E101" i="3"/>
  <c r="E56" i="3"/>
  <c r="E621" i="3"/>
  <c r="E182" i="3"/>
  <c r="E452" i="3"/>
  <c r="E573" i="3"/>
  <c r="E606" i="3"/>
  <c r="E637" i="3"/>
  <c r="E309" i="3"/>
  <c r="E359" i="3"/>
  <c r="E54" i="3"/>
  <c r="F25" i="3"/>
  <c r="F49" i="3"/>
  <c r="F73" i="3"/>
  <c r="F97" i="3"/>
  <c r="F121" i="3"/>
  <c r="F145" i="3"/>
  <c r="F169" i="3"/>
  <c r="F193" i="3"/>
  <c r="F217" i="3"/>
  <c r="F241" i="3"/>
  <c r="F265" i="3"/>
  <c r="F289" i="3"/>
  <c r="F313" i="3"/>
  <c r="F337" i="3"/>
  <c r="F361" i="3"/>
  <c r="F385" i="3"/>
  <c r="F409" i="3"/>
  <c r="F433" i="3"/>
  <c r="F457" i="3"/>
  <c r="F481" i="3"/>
  <c r="F505" i="3"/>
  <c r="F529" i="3"/>
  <c r="F553" i="3"/>
  <c r="F577" i="3"/>
  <c r="F601" i="3"/>
  <c r="F625" i="3"/>
  <c r="F649" i="3"/>
  <c r="F673" i="3"/>
  <c r="B673" i="3" s="1"/>
  <c r="F415" i="3"/>
  <c r="F607" i="3"/>
  <c r="F56" i="3"/>
  <c r="F2" i="3"/>
  <c r="F26" i="3"/>
  <c r="F50" i="3"/>
  <c r="F74" i="3"/>
  <c r="F98" i="3"/>
  <c r="F122" i="3"/>
  <c r="F146" i="3"/>
  <c r="F170" i="3"/>
  <c r="F194" i="3"/>
  <c r="F218" i="3"/>
  <c r="F242" i="3"/>
  <c r="F266" i="3"/>
  <c r="F290" i="3"/>
  <c r="F314" i="3"/>
  <c r="F338" i="3"/>
  <c r="F362" i="3"/>
  <c r="F386" i="3"/>
  <c r="F410" i="3"/>
  <c r="F434" i="3"/>
  <c r="F458" i="3"/>
  <c r="F482" i="3"/>
  <c r="F506" i="3"/>
  <c r="F530" i="3"/>
  <c r="F554" i="3"/>
  <c r="F578" i="3"/>
  <c r="F602" i="3"/>
  <c r="F626" i="3"/>
  <c r="F650" i="3"/>
  <c r="F674" i="3"/>
  <c r="B674" i="3" s="1"/>
  <c r="F51" i="3"/>
  <c r="F123" i="3"/>
  <c r="F171" i="3"/>
  <c r="F219" i="3"/>
  <c r="F267" i="3"/>
  <c r="F315" i="3"/>
  <c r="F363" i="3"/>
  <c r="F411" i="3"/>
  <c r="F459" i="3"/>
  <c r="F507" i="3"/>
  <c r="F555" i="3"/>
  <c r="F603" i="3"/>
  <c r="F627" i="3"/>
  <c r="F675" i="3"/>
  <c r="B675" i="3" s="1"/>
  <c r="F317" i="3"/>
  <c r="F461" i="3"/>
  <c r="F533" i="3"/>
  <c r="F581" i="3"/>
  <c r="F629" i="3"/>
  <c r="F6" i="3"/>
  <c r="F78" i="3"/>
  <c r="F126" i="3"/>
  <c r="F174" i="3"/>
  <c r="F222" i="3"/>
  <c r="F270" i="3"/>
  <c r="F318" i="3"/>
  <c r="F366" i="3"/>
  <c r="F414" i="3"/>
  <c r="F462" i="3"/>
  <c r="F510" i="3"/>
  <c r="F558" i="3"/>
  <c r="F582" i="3"/>
  <c r="F630" i="3"/>
  <c r="F31" i="3"/>
  <c r="F103" i="3"/>
  <c r="F175" i="3"/>
  <c r="F199" i="3"/>
  <c r="F247" i="3"/>
  <c r="F295" i="3"/>
  <c r="F367" i="3"/>
  <c r="F439" i="3"/>
  <c r="F511" i="3"/>
  <c r="F559" i="3"/>
  <c r="F631" i="3"/>
  <c r="F32" i="3"/>
  <c r="F104" i="3"/>
  <c r="F176" i="3"/>
  <c r="F224" i="3"/>
  <c r="F272" i="3"/>
  <c r="F320" i="3"/>
  <c r="F368" i="3"/>
  <c r="F416" i="3"/>
  <c r="F464" i="3"/>
  <c r="F512" i="3"/>
  <c r="F584" i="3"/>
  <c r="F3" i="3"/>
  <c r="F27" i="3"/>
  <c r="F75" i="3"/>
  <c r="F99" i="3"/>
  <c r="F147" i="3"/>
  <c r="F195" i="3"/>
  <c r="F243" i="3"/>
  <c r="F291" i="3"/>
  <c r="F339" i="3"/>
  <c r="F387" i="3"/>
  <c r="F435" i="3"/>
  <c r="F483" i="3"/>
  <c r="F531" i="3"/>
  <c r="F579" i="3"/>
  <c r="F651" i="3"/>
  <c r="F437" i="3"/>
  <c r="F54" i="3"/>
  <c r="F319" i="3"/>
  <c r="F128" i="3"/>
  <c r="F4" i="3"/>
  <c r="F28" i="3"/>
  <c r="F52" i="3"/>
  <c r="F76" i="3"/>
  <c r="F100" i="3"/>
  <c r="F124" i="3"/>
  <c r="F148" i="3"/>
  <c r="F172" i="3"/>
  <c r="F196" i="3"/>
  <c r="F220" i="3"/>
  <c r="F244" i="3"/>
  <c r="F268" i="3"/>
  <c r="F292" i="3"/>
  <c r="F316" i="3"/>
  <c r="F340" i="3"/>
  <c r="F364" i="3"/>
  <c r="F388" i="3"/>
  <c r="F412" i="3"/>
  <c r="F436" i="3"/>
  <c r="F460" i="3"/>
  <c r="F484" i="3"/>
  <c r="F508" i="3"/>
  <c r="F532" i="3"/>
  <c r="F556" i="3"/>
  <c r="F580" i="3"/>
  <c r="F604" i="3"/>
  <c r="F628" i="3"/>
  <c r="F652" i="3"/>
  <c r="F676" i="3"/>
  <c r="B676" i="3" s="1"/>
  <c r="F5" i="3"/>
  <c r="F29" i="3"/>
  <c r="F53" i="3"/>
  <c r="F77" i="3"/>
  <c r="F101" i="3"/>
  <c r="F125" i="3"/>
  <c r="F149" i="3"/>
  <c r="F173" i="3"/>
  <c r="F197" i="3"/>
  <c r="F221" i="3"/>
  <c r="F245" i="3"/>
  <c r="F269" i="3"/>
  <c r="F293" i="3"/>
  <c r="F341" i="3"/>
  <c r="F365" i="3"/>
  <c r="F389" i="3"/>
  <c r="F413" i="3"/>
  <c r="F485" i="3"/>
  <c r="F509" i="3"/>
  <c r="F557" i="3"/>
  <c r="F605" i="3"/>
  <c r="F653" i="3"/>
  <c r="F30" i="3"/>
  <c r="F102" i="3"/>
  <c r="F150" i="3"/>
  <c r="F198" i="3"/>
  <c r="F246" i="3"/>
  <c r="F294" i="3"/>
  <c r="F342" i="3"/>
  <c r="F390" i="3"/>
  <c r="F438" i="3"/>
  <c r="F486" i="3"/>
  <c r="F534" i="3"/>
  <c r="F606" i="3"/>
  <c r="F654" i="3"/>
  <c r="F55" i="3"/>
  <c r="F79" i="3"/>
  <c r="F151" i="3"/>
  <c r="F223" i="3"/>
  <c r="F271" i="3"/>
  <c r="F343" i="3"/>
  <c r="F391" i="3"/>
  <c r="F487" i="3"/>
  <c r="F535" i="3"/>
  <c r="F583" i="3"/>
  <c r="F655" i="3"/>
  <c r="F8" i="3"/>
  <c r="F80" i="3"/>
  <c r="F152" i="3"/>
  <c r="F200" i="3"/>
  <c r="F248" i="3"/>
  <c r="F296" i="3"/>
  <c r="F344" i="3"/>
  <c r="F392" i="3"/>
  <c r="F440" i="3"/>
  <c r="F488" i="3"/>
  <c r="F7" i="3"/>
  <c r="F127" i="3"/>
  <c r="F463" i="3"/>
  <c r="F9" i="3"/>
  <c r="F33" i="3"/>
  <c r="F57" i="3"/>
  <c r="F81" i="3"/>
  <c r="F105" i="3"/>
  <c r="F129" i="3"/>
  <c r="F153" i="3"/>
  <c r="F177" i="3"/>
  <c r="F201" i="3"/>
  <c r="F225" i="3"/>
  <c r="F249" i="3"/>
  <c r="F273" i="3"/>
  <c r="F297" i="3"/>
  <c r="F321" i="3"/>
  <c r="F345" i="3"/>
  <c r="F369" i="3"/>
  <c r="F393" i="3"/>
  <c r="F417" i="3"/>
  <c r="F441" i="3"/>
  <c r="F465" i="3"/>
  <c r="F10" i="3"/>
  <c r="F43" i="3"/>
  <c r="F85" i="3"/>
  <c r="F118" i="3"/>
  <c r="F160" i="3"/>
  <c r="F202" i="3"/>
  <c r="F235" i="3"/>
  <c r="F277" i="3"/>
  <c r="F310" i="3"/>
  <c r="F352" i="3"/>
  <c r="F394" i="3"/>
  <c r="F427" i="3"/>
  <c r="F469" i="3"/>
  <c r="F501" i="3"/>
  <c r="F540" i="3"/>
  <c r="F571" i="3"/>
  <c r="F610" i="3"/>
  <c r="F641" i="3"/>
  <c r="F672" i="3"/>
  <c r="F647" i="3"/>
  <c r="F92" i="3"/>
  <c r="F656" i="3"/>
  <c r="F211" i="3"/>
  <c r="F519" i="3"/>
  <c r="F180" i="3"/>
  <c r="F659" i="3"/>
  <c r="F521" i="3"/>
  <c r="F140" i="3"/>
  <c r="F662" i="3"/>
  <c r="F11" i="3"/>
  <c r="F44" i="3"/>
  <c r="F86" i="3"/>
  <c r="F119" i="3"/>
  <c r="F161" i="3"/>
  <c r="F203" i="3"/>
  <c r="F236" i="3"/>
  <c r="F278" i="3"/>
  <c r="F311" i="3"/>
  <c r="F353" i="3"/>
  <c r="F395" i="3"/>
  <c r="F428" i="3"/>
  <c r="F470" i="3"/>
  <c r="F502" i="3"/>
  <c r="F541" i="3"/>
  <c r="F572" i="3"/>
  <c r="F611" i="3"/>
  <c r="F642" i="3"/>
  <c r="F515" i="3"/>
  <c r="F17" i="3"/>
  <c r="F251" i="3"/>
  <c r="F443" i="3"/>
  <c r="F547" i="3"/>
  <c r="F648" i="3"/>
  <c r="F18" i="3"/>
  <c r="F252" i="3"/>
  <c r="F327" i="3"/>
  <c r="F402" i="3"/>
  <c r="F477" i="3"/>
  <c r="F618" i="3"/>
  <c r="F19" i="3"/>
  <c r="F286" i="3"/>
  <c r="F445" i="3"/>
  <c r="F588" i="3"/>
  <c r="F20" i="3"/>
  <c r="F212" i="3"/>
  <c r="F254" i="3"/>
  <c r="F371" i="3"/>
  <c r="F550" i="3"/>
  <c r="F21" i="3"/>
  <c r="F255" i="3"/>
  <c r="F372" i="3"/>
  <c r="F480" i="3"/>
  <c r="F590" i="3"/>
  <c r="F106" i="3"/>
  <c r="F256" i="3"/>
  <c r="F373" i="3"/>
  <c r="F552" i="3"/>
  <c r="F660" i="3"/>
  <c r="F107" i="3"/>
  <c r="F299" i="3"/>
  <c r="F407" i="3"/>
  <c r="F560" i="3"/>
  <c r="F24" i="3"/>
  <c r="F216" i="3"/>
  <c r="F333" i="3"/>
  <c r="F523" i="3"/>
  <c r="F12" i="3"/>
  <c r="F45" i="3"/>
  <c r="F87" i="3"/>
  <c r="F120" i="3"/>
  <c r="F162" i="3"/>
  <c r="F204" i="3"/>
  <c r="F237" i="3"/>
  <c r="F279" i="3"/>
  <c r="F312" i="3"/>
  <c r="F354" i="3"/>
  <c r="F396" i="3"/>
  <c r="F429" i="3"/>
  <c r="F471" i="3"/>
  <c r="F503" i="3"/>
  <c r="F542" i="3"/>
  <c r="F573" i="3"/>
  <c r="F612" i="3"/>
  <c r="F643" i="3"/>
  <c r="F238" i="3"/>
  <c r="F322" i="3"/>
  <c r="F355" i="3"/>
  <c r="F430" i="3"/>
  <c r="F472" i="3"/>
  <c r="F504" i="3"/>
  <c r="F543" i="3"/>
  <c r="F574" i="3"/>
  <c r="F613" i="3"/>
  <c r="F14" i="3"/>
  <c r="F47" i="3"/>
  <c r="F89" i="3"/>
  <c r="F131" i="3"/>
  <c r="F206" i="3"/>
  <c r="F239" i="3"/>
  <c r="F281" i="3"/>
  <c r="F323" i="3"/>
  <c r="F356" i="3"/>
  <c r="F431" i="3"/>
  <c r="F473" i="3"/>
  <c r="F544" i="3"/>
  <c r="F575" i="3"/>
  <c r="F645" i="3"/>
  <c r="F432" i="3"/>
  <c r="F514" i="3"/>
  <c r="F576" i="3"/>
  <c r="F133" i="3"/>
  <c r="F250" i="3"/>
  <c r="F325" i="3"/>
  <c r="F400" i="3"/>
  <c r="F585" i="3"/>
  <c r="F59" i="3"/>
  <c r="F209" i="3"/>
  <c r="F284" i="3"/>
  <c r="F359" i="3"/>
  <c r="F476" i="3"/>
  <c r="F586" i="3"/>
  <c r="F60" i="3"/>
  <c r="F210" i="3"/>
  <c r="F285" i="3"/>
  <c r="F517" i="3"/>
  <c r="F61" i="3"/>
  <c r="F253" i="3"/>
  <c r="F370" i="3"/>
  <c r="F549" i="3"/>
  <c r="F657" i="3"/>
  <c r="F95" i="3"/>
  <c r="F287" i="3"/>
  <c r="F446" i="3"/>
  <c r="F589" i="3"/>
  <c r="F63" i="3"/>
  <c r="F288" i="3"/>
  <c r="F405" i="3"/>
  <c r="F551" i="3"/>
  <c r="F22" i="3"/>
  <c r="F214" i="3"/>
  <c r="F331" i="3"/>
  <c r="F448" i="3"/>
  <c r="F622" i="3"/>
  <c r="F65" i="3"/>
  <c r="F257" i="3"/>
  <c r="F374" i="3"/>
  <c r="F592" i="3"/>
  <c r="F108" i="3"/>
  <c r="F300" i="3"/>
  <c r="F375" i="3"/>
  <c r="F491" i="3"/>
  <c r="F13" i="3"/>
  <c r="F46" i="3"/>
  <c r="F88" i="3"/>
  <c r="F130" i="3"/>
  <c r="F163" i="3"/>
  <c r="F205" i="3"/>
  <c r="F280" i="3"/>
  <c r="F397" i="3"/>
  <c r="F644" i="3"/>
  <c r="F164" i="3"/>
  <c r="F398" i="3"/>
  <c r="F513" i="3"/>
  <c r="F614" i="3"/>
  <c r="F357" i="3"/>
  <c r="F545" i="3"/>
  <c r="F646" i="3"/>
  <c r="F91" i="3"/>
  <c r="F283" i="3"/>
  <c r="F358" i="3"/>
  <c r="F442" i="3"/>
  <c r="F616" i="3"/>
  <c r="F167" i="3"/>
  <c r="F326" i="3"/>
  <c r="F516" i="3"/>
  <c r="F93" i="3"/>
  <c r="F360" i="3"/>
  <c r="F587" i="3"/>
  <c r="F136" i="3"/>
  <c r="F403" i="3"/>
  <c r="F619" i="3"/>
  <c r="F179" i="3"/>
  <c r="F404" i="3"/>
  <c r="F658" i="3"/>
  <c r="F96" i="3"/>
  <c r="F447" i="3"/>
  <c r="F181" i="3"/>
  <c r="F591" i="3"/>
  <c r="F182" i="3"/>
  <c r="F449" i="3"/>
  <c r="F661" i="3"/>
  <c r="F141" i="3"/>
  <c r="F15" i="3"/>
  <c r="F48" i="3"/>
  <c r="F90" i="3"/>
  <c r="F132" i="3"/>
  <c r="F165" i="3"/>
  <c r="F207" i="3"/>
  <c r="F240" i="3"/>
  <c r="F282" i="3"/>
  <c r="F324" i="3"/>
  <c r="F399" i="3"/>
  <c r="F474" i="3"/>
  <c r="F615" i="3"/>
  <c r="F166" i="3"/>
  <c r="F475" i="3"/>
  <c r="F134" i="3"/>
  <c r="F401" i="3"/>
  <c r="F617" i="3"/>
  <c r="F135" i="3"/>
  <c r="F548" i="3"/>
  <c r="F178" i="3"/>
  <c r="F478" i="3"/>
  <c r="F137" i="3"/>
  <c r="F479" i="3"/>
  <c r="F213" i="3"/>
  <c r="F621" i="3"/>
  <c r="F139" i="3"/>
  <c r="F406" i="3"/>
  <c r="F215" i="3"/>
  <c r="F522" i="3"/>
  <c r="F183" i="3"/>
  <c r="F450" i="3"/>
  <c r="F16" i="3"/>
  <c r="F58" i="3"/>
  <c r="F208" i="3"/>
  <c r="F546" i="3"/>
  <c r="F168" i="3"/>
  <c r="F444" i="3"/>
  <c r="F94" i="3"/>
  <c r="F328" i="3"/>
  <c r="F518" i="3"/>
  <c r="F62" i="3"/>
  <c r="F329" i="3"/>
  <c r="F620" i="3"/>
  <c r="F138" i="3"/>
  <c r="F330" i="3"/>
  <c r="F520" i="3"/>
  <c r="F64" i="3"/>
  <c r="F298" i="3"/>
  <c r="F489" i="3"/>
  <c r="F23" i="3"/>
  <c r="F332" i="3"/>
  <c r="F490" i="3"/>
  <c r="F623" i="3"/>
  <c r="F66" i="3"/>
  <c r="F258" i="3"/>
  <c r="F408" i="3"/>
  <c r="F593" i="3"/>
  <c r="F34" i="3"/>
  <c r="F115" i="3"/>
  <c r="F229" i="3"/>
  <c r="F334" i="3"/>
  <c r="F424" i="3"/>
  <c r="F527" i="3"/>
  <c r="F609" i="3"/>
  <c r="F35" i="3"/>
  <c r="F116" i="3"/>
  <c r="F230" i="3"/>
  <c r="F335" i="3"/>
  <c r="F528" i="3"/>
  <c r="F624" i="3"/>
  <c r="F263" i="3"/>
  <c r="F70" i="3"/>
  <c r="F494" i="3"/>
  <c r="F667" i="3"/>
  <c r="F188" i="3"/>
  <c r="F425" i="3"/>
  <c r="F566" i="3"/>
  <c r="F492" i="3"/>
  <c r="F71" i="3"/>
  <c r="F493" i="3"/>
  <c r="F72" i="3"/>
  <c r="F666" i="3"/>
  <c r="F189" i="3"/>
  <c r="F303" i="3"/>
  <c r="F384" i="3"/>
  <c r="F497" i="3"/>
  <c r="F595" i="3"/>
  <c r="F109" i="3"/>
  <c r="F418" i="3"/>
  <c r="F670" i="3"/>
  <c r="B670" i="3" s="1"/>
  <c r="F305" i="3"/>
  <c r="F671" i="3"/>
  <c r="B671" i="3" s="1"/>
  <c r="F306" i="3"/>
  <c r="F226" i="3"/>
  <c r="F308" i="3"/>
  <c r="F228" i="3"/>
  <c r="F36" i="3"/>
  <c r="F117" i="3"/>
  <c r="F231" i="3"/>
  <c r="F336" i="3"/>
  <c r="F426" i="3"/>
  <c r="F536" i="3"/>
  <c r="F632" i="3"/>
  <c r="F537" i="3"/>
  <c r="F38" i="3"/>
  <c r="F143" i="3"/>
  <c r="F233" i="3"/>
  <c r="F452" i="3"/>
  <c r="F634" i="3"/>
  <c r="F154" i="3"/>
  <c r="F349" i="3"/>
  <c r="F636" i="3"/>
  <c r="F260" i="3"/>
  <c r="F562" i="3"/>
  <c r="F156" i="3"/>
  <c r="F351" i="3"/>
  <c r="F638" i="3"/>
  <c r="F262" i="3"/>
  <c r="F564" i="3"/>
  <c r="F68" i="3"/>
  <c r="F467" i="3"/>
  <c r="F69" i="3"/>
  <c r="F378" i="3"/>
  <c r="F663" i="3"/>
  <c r="F184" i="3"/>
  <c r="F567" i="3"/>
  <c r="F185" i="3"/>
  <c r="F665" i="3"/>
  <c r="F186" i="3"/>
  <c r="F569" i="3"/>
  <c r="F382" i="3"/>
  <c r="F83" i="3"/>
  <c r="F496" i="3"/>
  <c r="F594" i="3"/>
  <c r="F668" i="3"/>
  <c r="F84" i="3"/>
  <c r="F111" i="3"/>
  <c r="F500" i="3"/>
  <c r="F599" i="3"/>
  <c r="F525" i="3"/>
  <c r="F309" i="3"/>
  <c r="F37" i="3"/>
  <c r="F142" i="3"/>
  <c r="F232" i="3"/>
  <c r="F346" i="3"/>
  <c r="F451" i="3"/>
  <c r="F633" i="3"/>
  <c r="F347" i="3"/>
  <c r="F538" i="3"/>
  <c r="F40" i="3"/>
  <c r="F561" i="3"/>
  <c r="F155" i="3"/>
  <c r="F350" i="3"/>
  <c r="F637" i="3"/>
  <c r="F261" i="3"/>
  <c r="F563" i="3"/>
  <c r="F67" i="3"/>
  <c r="F466" i="3"/>
  <c r="F639" i="3"/>
  <c r="F158" i="3"/>
  <c r="F565" i="3"/>
  <c r="F159" i="3"/>
  <c r="F468" i="3"/>
  <c r="F379" i="3"/>
  <c r="F380" i="3"/>
  <c r="F276" i="3"/>
  <c r="F301" i="3"/>
  <c r="F570" i="3"/>
  <c r="F383" i="3"/>
  <c r="F304" i="3"/>
  <c r="F596" i="3"/>
  <c r="F110" i="3"/>
  <c r="F419" i="3"/>
  <c r="F420" i="3"/>
  <c r="F307" i="3"/>
  <c r="F227" i="3"/>
  <c r="F600" i="3"/>
  <c r="F526" i="3"/>
  <c r="F39" i="3"/>
  <c r="F144" i="3"/>
  <c r="F234" i="3"/>
  <c r="F348" i="3"/>
  <c r="F453" i="3"/>
  <c r="F539" i="3"/>
  <c r="F635" i="3"/>
  <c r="F259" i="3"/>
  <c r="F454" i="3"/>
  <c r="F41" i="3"/>
  <c r="F455" i="3"/>
  <c r="F42" i="3"/>
  <c r="F456" i="3"/>
  <c r="F157" i="3"/>
  <c r="F376" i="3"/>
  <c r="F377" i="3"/>
  <c r="F640" i="3"/>
  <c r="F264" i="3"/>
  <c r="F274" i="3"/>
  <c r="F664" i="3"/>
  <c r="F275" i="3"/>
  <c r="F568" i="3"/>
  <c r="F381" i="3"/>
  <c r="F495" i="3"/>
  <c r="F302" i="3"/>
  <c r="F669" i="3"/>
  <c r="F190" i="3"/>
  <c r="F498" i="3"/>
  <c r="F191" i="3"/>
  <c r="F499" i="3"/>
  <c r="F598" i="3"/>
  <c r="F524" i="3"/>
  <c r="F113" i="3"/>
  <c r="F608" i="3"/>
  <c r="F82" i="3"/>
  <c r="F597" i="3"/>
  <c r="F192" i="3"/>
  <c r="F421" i="3"/>
  <c r="F114" i="3"/>
  <c r="F187" i="3"/>
  <c r="F112" i="3"/>
  <c r="F422" i="3"/>
  <c r="F423" i="3"/>
  <c r="B672" i="3" l="1"/>
  <c r="H676" i="3"/>
  <c r="H678" i="3"/>
  <c r="H672" i="3"/>
  <c r="H674" i="3"/>
  <c r="G670" i="3"/>
  <c r="H670" i="3" s="1"/>
  <c r="G679" i="3"/>
  <c r="H679" i="3" s="1"/>
  <c r="G673" i="3"/>
  <c r="H673" i="3" s="1"/>
  <c r="G675" i="3"/>
  <c r="H675" i="3" s="1"/>
  <c r="G680" i="3"/>
  <c r="H680" i="3" s="1"/>
  <c r="G677" i="3"/>
  <c r="H677" i="3" s="1"/>
  <c r="G671" i="3"/>
  <c r="H671" i="3" s="1"/>
  <c r="G479" i="3"/>
  <c r="H479" i="3" s="1"/>
  <c r="G343" i="3"/>
  <c r="H343" i="3" s="1"/>
  <c r="G98" i="3"/>
  <c r="H98" i="3" s="1"/>
  <c r="G356" i="3"/>
  <c r="H356" i="3" s="1"/>
  <c r="G164" i="3"/>
  <c r="H164" i="3" s="1"/>
  <c r="G510" i="3"/>
  <c r="H510" i="3" s="1"/>
  <c r="G287" i="3"/>
  <c r="H287" i="3" s="1"/>
  <c r="G608" i="3"/>
  <c r="H608" i="3" s="1"/>
  <c r="G611" i="3"/>
  <c r="H611" i="3" s="1"/>
  <c r="G635" i="3"/>
  <c r="H635" i="3" s="1"/>
  <c r="G118" i="3"/>
  <c r="H118" i="3" s="1"/>
  <c r="G568" i="3"/>
  <c r="H568" i="3" s="1"/>
  <c r="G33" i="3"/>
  <c r="H33" i="3" s="1"/>
  <c r="G573" i="3"/>
  <c r="H573" i="3" s="1"/>
  <c r="G105" i="3"/>
  <c r="H105" i="3" s="1"/>
  <c r="G42" i="3"/>
  <c r="H42" i="3" s="1"/>
  <c r="G57" i="3"/>
  <c r="H57" i="3" s="1"/>
  <c r="G382" i="3"/>
  <c r="H382" i="3" s="1"/>
  <c r="G562" i="3"/>
  <c r="H562" i="3" s="1"/>
  <c r="G39" i="3"/>
  <c r="H39" i="3" s="1"/>
  <c r="G459" i="3"/>
  <c r="H459" i="3" s="1"/>
  <c r="G532" i="3"/>
  <c r="H532" i="3" s="1"/>
  <c r="G191" i="3"/>
  <c r="H191" i="3" s="1"/>
  <c r="G204" i="3"/>
  <c r="H204" i="3" s="1"/>
  <c r="G582" i="3"/>
  <c r="H582" i="3" s="1"/>
  <c r="G380" i="3"/>
  <c r="H380" i="3" s="1"/>
  <c r="G90" i="3"/>
  <c r="H90" i="3" s="1"/>
  <c r="G430" i="3"/>
  <c r="H430" i="3" s="1"/>
  <c r="G451" i="3"/>
  <c r="H451" i="3" s="1"/>
  <c r="G116" i="3"/>
  <c r="H116" i="3" s="1"/>
  <c r="G162" i="3"/>
  <c r="H162" i="3" s="1"/>
  <c r="G189" i="3"/>
  <c r="H189" i="3" s="1"/>
  <c r="G58" i="3"/>
  <c r="H58" i="3" s="1"/>
  <c r="G97" i="3"/>
  <c r="H97" i="3" s="1"/>
  <c r="G250" i="3"/>
  <c r="H250" i="3" s="1"/>
  <c r="G294" i="3"/>
  <c r="H294" i="3" s="1"/>
  <c r="G19" i="3"/>
  <c r="H19" i="3" s="1"/>
  <c r="G387" i="3"/>
  <c r="H387" i="3" s="1"/>
  <c r="G473" i="3"/>
  <c r="H473" i="3" s="1"/>
  <c r="G234" i="3"/>
  <c r="H234" i="3" s="1"/>
  <c r="G144" i="3"/>
  <c r="H144" i="3" s="1"/>
  <c r="G45" i="3"/>
  <c r="H45" i="3" s="1"/>
  <c r="G399" i="3"/>
  <c r="H399" i="3" s="1"/>
  <c r="G153" i="3"/>
  <c r="H153" i="3" s="1"/>
  <c r="G629" i="3"/>
  <c r="H629" i="3" s="1"/>
  <c r="G110" i="3"/>
  <c r="H110" i="3" s="1"/>
  <c r="G149" i="3"/>
  <c r="H149" i="3" s="1"/>
  <c r="G166" i="3"/>
  <c r="H166" i="3" s="1"/>
  <c r="G141" i="3"/>
  <c r="H141" i="3" s="1"/>
  <c r="G5" i="3"/>
  <c r="H5" i="3" s="1"/>
  <c r="G22" i="3"/>
  <c r="H22" i="3" s="1"/>
  <c r="G379" i="3"/>
  <c r="H379" i="3" s="1"/>
  <c r="G63" i="3"/>
  <c r="H63" i="3" s="1"/>
  <c r="G359" i="3"/>
  <c r="H359" i="3" s="1"/>
  <c r="G506" i="3"/>
  <c r="H506" i="3" s="1"/>
  <c r="G270" i="3"/>
  <c r="H270" i="3" s="1"/>
  <c r="G222" i="3"/>
  <c r="H222" i="3" s="1"/>
  <c r="G87" i="3"/>
  <c r="H87" i="3" s="1"/>
  <c r="G92" i="3"/>
  <c r="H92" i="3" s="1"/>
  <c r="G661" i="3"/>
  <c r="H661" i="3" s="1"/>
  <c r="G178" i="3"/>
  <c r="H178" i="3" s="1"/>
  <c r="G339" i="3"/>
  <c r="H339" i="3" s="1"/>
  <c r="G119" i="3"/>
  <c r="H119" i="3" s="1"/>
  <c r="G619" i="3"/>
  <c r="H619" i="3" s="1"/>
  <c r="G373" i="3"/>
  <c r="H373" i="3" s="1"/>
  <c r="G46" i="3"/>
  <c r="H46" i="3" s="1"/>
  <c r="G323" i="3"/>
  <c r="H323" i="3" s="1"/>
  <c r="G369" i="3"/>
  <c r="H369" i="3" s="1"/>
  <c r="G112" i="3"/>
  <c r="H112" i="3" s="1"/>
  <c r="G456" i="3"/>
  <c r="H456" i="3" s="1"/>
  <c r="G202" i="3"/>
  <c r="H202" i="3" s="1"/>
  <c r="G264" i="3"/>
  <c r="H264" i="3" s="1"/>
  <c r="G536" i="3"/>
  <c r="H536" i="3" s="1"/>
  <c r="G200" i="3"/>
  <c r="H200" i="3" s="1"/>
  <c r="G217" i="3"/>
  <c r="H217" i="3" s="1"/>
  <c r="G185" i="3"/>
  <c r="H185" i="3" s="1"/>
  <c r="G59" i="3"/>
  <c r="H59" i="3" s="1"/>
  <c r="G404" i="3"/>
  <c r="H404" i="3" s="1"/>
  <c r="G69" i="3"/>
  <c r="H69" i="3" s="1"/>
  <c r="G461" i="3"/>
  <c r="H461" i="3" s="1"/>
  <c r="G549" i="3"/>
  <c r="H549" i="3" s="1"/>
  <c r="G545" i="3"/>
  <c r="H545" i="3" s="1"/>
  <c r="G67" i="3"/>
  <c r="H67" i="3" s="1"/>
  <c r="G316" i="3"/>
  <c r="H316" i="3" s="1"/>
  <c r="G553" i="3"/>
  <c r="H553" i="3" s="1"/>
  <c r="G647" i="3"/>
  <c r="H647" i="3" s="1"/>
  <c r="G195" i="3"/>
  <c r="H195" i="3" s="1"/>
  <c r="G630" i="3"/>
  <c r="H630" i="3" s="1"/>
  <c r="F202" i="2"/>
  <c r="F223" i="2"/>
  <c r="F492" i="2"/>
  <c r="F86" i="2"/>
  <c r="F466" i="2"/>
  <c r="F52" i="2"/>
  <c r="F215" i="2"/>
  <c r="F522" i="2"/>
  <c r="F413" i="2"/>
  <c r="F291" i="2"/>
  <c r="F309" i="2"/>
  <c r="F181" i="2"/>
  <c r="F546" i="2"/>
  <c r="F344" i="2"/>
  <c r="F111" i="2"/>
  <c r="F32" i="2"/>
  <c r="B29" i="3"/>
  <c r="B556" i="3"/>
  <c r="B391" i="3"/>
  <c r="B402" i="3"/>
  <c r="B351" i="3"/>
  <c r="B193" i="3"/>
  <c r="B28" i="3"/>
  <c r="B594" i="3"/>
  <c r="B452" i="3"/>
  <c r="B221" i="3"/>
  <c r="B183" i="3"/>
  <c r="B644" i="3"/>
  <c r="B301" i="3"/>
  <c r="B506" i="3"/>
  <c r="B113" i="3"/>
  <c r="B572" i="3"/>
  <c r="G659" i="3"/>
  <c r="H659" i="3" s="1"/>
  <c r="G280" i="3"/>
  <c r="H280" i="3" s="1"/>
  <c r="G347" i="3"/>
  <c r="H347" i="3" s="1"/>
  <c r="G322" i="3"/>
  <c r="H322" i="3" s="1"/>
  <c r="G417" i="3"/>
  <c r="H417" i="3" s="1"/>
  <c r="G77" i="3"/>
  <c r="H77" i="3" s="1"/>
  <c r="G272" i="3"/>
  <c r="H272" i="3" s="1"/>
  <c r="G407" i="3"/>
  <c r="H407" i="3" s="1"/>
  <c r="G296" i="3"/>
  <c r="H296" i="3" s="1"/>
  <c r="F262" i="2"/>
  <c r="F480" i="2"/>
  <c r="B459" i="3"/>
  <c r="B25" i="3"/>
  <c r="G601" i="3"/>
  <c r="H601" i="3" s="1"/>
  <c r="G122" i="3"/>
  <c r="H122" i="3" s="1"/>
  <c r="G411" i="3"/>
  <c r="H411" i="3" s="1"/>
  <c r="G114" i="3"/>
  <c r="H114" i="3" s="1"/>
  <c r="G446" i="3"/>
  <c r="H446" i="3" s="1"/>
  <c r="G255" i="3"/>
  <c r="H255" i="3" s="1"/>
  <c r="G668" i="3"/>
  <c r="H668" i="3" s="1"/>
  <c r="G82" i="3"/>
  <c r="H82" i="3" s="1"/>
  <c r="G88" i="3"/>
  <c r="H88" i="3" s="1"/>
  <c r="G170" i="3"/>
  <c r="H170" i="3" s="1"/>
  <c r="G591" i="3"/>
  <c r="H591" i="3" s="1"/>
  <c r="G571" i="3"/>
  <c r="H571" i="3" s="1"/>
  <c r="G534" i="3"/>
  <c r="H534" i="3" s="1"/>
  <c r="G318" i="3"/>
  <c r="H318" i="3" s="1"/>
  <c r="G21" i="3"/>
  <c r="H21" i="3" s="1"/>
  <c r="G243" i="3"/>
  <c r="H243" i="3" s="1"/>
  <c r="G328" i="3"/>
  <c r="H328" i="3" s="1"/>
  <c r="G53" i="3"/>
  <c r="H53" i="3" s="1"/>
  <c r="G340" i="3"/>
  <c r="H340" i="3" s="1"/>
  <c r="G610" i="3"/>
  <c r="H610" i="3" s="1"/>
  <c r="G73" i="3"/>
  <c r="H73" i="3" s="1"/>
  <c r="G651" i="3"/>
  <c r="H651" i="3" s="1"/>
  <c r="G401" i="3"/>
  <c r="H401" i="3" s="1"/>
  <c r="G426" i="3"/>
  <c r="H426" i="3" s="1"/>
  <c r="G304" i="3"/>
  <c r="H304" i="3" s="1"/>
  <c r="G560" i="3"/>
  <c r="H560" i="3" s="1"/>
  <c r="G134" i="3"/>
  <c r="H134" i="3" s="1"/>
  <c r="G216" i="3"/>
  <c r="H216" i="3" s="1"/>
  <c r="G495" i="3"/>
  <c r="H495" i="3" s="1"/>
  <c r="G482" i="3"/>
  <c r="H482" i="3" s="1"/>
  <c r="G442" i="3"/>
  <c r="H442" i="3" s="1"/>
  <c r="G389" i="3"/>
  <c r="H389" i="3" s="1"/>
  <c r="G173" i="3"/>
  <c r="H173" i="3" s="1"/>
  <c r="G274" i="3"/>
  <c r="H274" i="3" s="1"/>
  <c r="G558" i="3"/>
  <c r="H558" i="3" s="1"/>
  <c r="F524" i="2"/>
  <c r="F445" i="2"/>
  <c r="F175" i="2"/>
  <c r="F377" i="2"/>
  <c r="B501" i="3"/>
  <c r="B99" i="3"/>
  <c r="B321" i="3"/>
  <c r="B495" i="3"/>
  <c r="B15" i="3"/>
  <c r="B482" i="3"/>
  <c r="B465" i="3"/>
  <c r="B75" i="3"/>
  <c r="B267" i="3"/>
  <c r="B568" i="3"/>
  <c r="B49" i="3"/>
  <c r="B392" i="3"/>
  <c r="B626" i="3"/>
  <c r="G434" i="3"/>
  <c r="H434" i="3" s="1"/>
  <c r="G80" i="3"/>
  <c r="H80" i="3" s="1"/>
  <c r="G409" i="3"/>
  <c r="H409" i="3" s="1"/>
  <c r="G655" i="3"/>
  <c r="H655" i="3" s="1"/>
  <c r="G439" i="3"/>
  <c r="H439" i="3" s="1"/>
  <c r="G353" i="3"/>
  <c r="H353" i="3" s="1"/>
  <c r="G283" i="3"/>
  <c r="H283" i="3" s="1"/>
  <c r="G246" i="3"/>
  <c r="H246" i="3" s="1"/>
  <c r="G487" i="3"/>
  <c r="H487" i="3" s="1"/>
  <c r="G617" i="3"/>
  <c r="H617" i="3" s="1"/>
  <c r="G396" i="3"/>
  <c r="H396" i="3" s="1"/>
  <c r="G124" i="3"/>
  <c r="H124" i="3" s="1"/>
  <c r="G208" i="3"/>
  <c r="H208" i="3" s="1"/>
  <c r="G137" i="3"/>
  <c r="H137" i="3" s="1"/>
  <c r="G513" i="3"/>
  <c r="H513" i="3" s="1"/>
  <c r="G11" i="3"/>
  <c r="H11" i="3" s="1"/>
  <c r="G228" i="3"/>
  <c r="H228" i="3" s="1"/>
  <c r="G43" i="3"/>
  <c r="H43" i="3" s="1"/>
  <c r="G548" i="3"/>
  <c r="H548" i="3" s="1"/>
  <c r="G16" i="3"/>
  <c r="H16" i="3" s="1"/>
  <c r="G593" i="3"/>
  <c r="H593" i="3" s="1"/>
  <c r="G634" i="3"/>
  <c r="H634" i="3" s="1"/>
  <c r="G277" i="3"/>
  <c r="H277" i="3" s="1"/>
  <c r="G502" i="3"/>
  <c r="H502" i="3" s="1"/>
  <c r="G307" i="3"/>
  <c r="H307" i="3" s="1"/>
  <c r="F499" i="2"/>
  <c r="F170" i="2"/>
  <c r="F58" i="2"/>
  <c r="F311" i="2"/>
  <c r="F517" i="2"/>
  <c r="F169" i="2"/>
  <c r="F368" i="2"/>
  <c r="F29" i="2"/>
  <c r="F216" i="2"/>
  <c r="F366" i="2"/>
  <c r="F520" i="2"/>
  <c r="F501" i="2"/>
  <c r="F5" i="2"/>
  <c r="F93" i="2"/>
  <c r="F177" i="2"/>
  <c r="F55" i="2"/>
  <c r="F300" i="2"/>
  <c r="F229" i="2"/>
  <c r="F518" i="2"/>
  <c r="F234" i="2"/>
  <c r="F148" i="2"/>
  <c r="G393" i="3"/>
  <c r="H393" i="3" s="1"/>
  <c r="G504" i="3"/>
  <c r="H504" i="3" s="1"/>
  <c r="G585" i="3"/>
  <c r="H585" i="3" s="1"/>
  <c r="G268" i="3"/>
  <c r="H268" i="3" s="1"/>
  <c r="G484" i="3"/>
  <c r="H484" i="3" s="1"/>
  <c r="G301" i="3"/>
  <c r="H301" i="3" s="1"/>
  <c r="G152" i="3"/>
  <c r="H152" i="3" s="1"/>
  <c r="G165" i="3"/>
  <c r="H165" i="3" s="1"/>
  <c r="G391" i="3"/>
  <c r="H391" i="3" s="1"/>
  <c r="G183" i="3"/>
  <c r="H183" i="3" s="1"/>
  <c r="G627" i="3"/>
  <c r="H627" i="3" s="1"/>
  <c r="G28" i="3"/>
  <c r="H28" i="3" s="1"/>
  <c r="G331" i="3"/>
  <c r="H331" i="3" s="1"/>
  <c r="G365" i="3"/>
  <c r="H365" i="3" s="1"/>
  <c r="G34" i="3"/>
  <c r="H34" i="3" s="1"/>
  <c r="G299" i="3"/>
  <c r="H299" i="3" s="1"/>
  <c r="G75" i="3"/>
  <c r="H75" i="3" s="1"/>
  <c r="G376" i="3"/>
  <c r="H376" i="3" s="1"/>
  <c r="G239" i="3"/>
  <c r="H239" i="3" s="1"/>
  <c r="G345" i="3"/>
  <c r="H345" i="3" s="1"/>
  <c r="G422" i="3"/>
  <c r="H422" i="3" s="1"/>
  <c r="G555" i="3"/>
  <c r="H555" i="3" s="1"/>
  <c r="G419" i="3"/>
  <c r="H419" i="3" s="1"/>
  <c r="G100" i="3"/>
  <c r="H100" i="3" s="1"/>
  <c r="G493" i="3"/>
  <c r="H493" i="3" s="1"/>
  <c r="G641" i="3"/>
  <c r="H641" i="3" s="1"/>
  <c r="F40" i="2"/>
  <c r="F288" i="2"/>
  <c r="F9" i="2"/>
  <c r="F523" i="2"/>
  <c r="G621" i="3"/>
  <c r="H621" i="3" s="1"/>
  <c r="G315" i="3"/>
  <c r="H315" i="3" s="1"/>
  <c r="G225" i="3"/>
  <c r="H225" i="3" s="1"/>
  <c r="G438" i="3"/>
  <c r="H438" i="3" s="1"/>
  <c r="G579" i="3"/>
  <c r="H579" i="3" s="1"/>
  <c r="G3" i="3"/>
  <c r="H3" i="3" s="1"/>
  <c r="G10" i="3"/>
  <c r="H10" i="3" s="1"/>
  <c r="G500" i="3"/>
  <c r="H500" i="3" s="1"/>
  <c r="G285" i="3"/>
  <c r="H285" i="3" s="1"/>
  <c r="G598" i="3"/>
  <c r="H598" i="3" s="1"/>
  <c r="G160" i="3"/>
  <c r="H160" i="3" s="1"/>
  <c r="G454" i="3"/>
  <c r="H454" i="3" s="1"/>
  <c r="G643" i="3"/>
  <c r="H643" i="3" s="1"/>
  <c r="G445" i="3"/>
  <c r="H445" i="3" s="1"/>
  <c r="G653" i="3"/>
  <c r="H653" i="3" s="1"/>
  <c r="G559" i="3"/>
  <c r="H559" i="3" s="1"/>
  <c r="G18" i="3"/>
  <c r="H18" i="3" s="1"/>
  <c r="G371" i="3"/>
  <c r="H371" i="3" s="1"/>
  <c r="G233" i="3"/>
  <c r="H233" i="3" s="1"/>
  <c r="G205" i="3"/>
  <c r="H205" i="3" s="1"/>
  <c r="G252" i="3"/>
  <c r="H252" i="3" s="1"/>
  <c r="G209" i="3"/>
  <c r="H209" i="3" s="1"/>
  <c r="G167" i="3"/>
  <c r="H167" i="3" s="1"/>
  <c r="G488" i="3"/>
  <c r="H488" i="3" s="1"/>
  <c r="F545" i="2"/>
  <c r="F535" i="2"/>
  <c r="F114" i="2"/>
  <c r="F476" i="2"/>
  <c r="F431" i="2"/>
  <c r="B353" i="3"/>
  <c r="B355" i="3"/>
  <c r="B534" i="3"/>
  <c r="B191" i="3"/>
  <c r="B526" i="3"/>
  <c r="B610" i="3"/>
  <c r="B265" i="3"/>
  <c r="G70" i="3"/>
  <c r="H70" i="3" s="1"/>
  <c r="G497" i="3"/>
  <c r="H497" i="3" s="1"/>
  <c r="F483" i="2"/>
  <c r="F258" i="2"/>
  <c r="F321" i="2"/>
  <c r="F457" i="2"/>
  <c r="G477" i="3"/>
  <c r="H477" i="3" s="1"/>
  <c r="G291" i="3"/>
  <c r="H291" i="3" s="1"/>
  <c r="G366" i="3"/>
  <c r="H366" i="3" s="1"/>
  <c r="G576" i="3"/>
  <c r="H576" i="3" s="1"/>
  <c r="G527" i="3"/>
  <c r="H527" i="3" s="1"/>
  <c r="G158" i="3"/>
  <c r="H158" i="3" s="1"/>
  <c r="F397" i="2"/>
  <c r="F379" i="2"/>
  <c r="F355" i="2"/>
  <c r="G62" i="3"/>
  <c r="H62" i="3" s="1"/>
  <c r="G109" i="3"/>
  <c r="H109" i="3" s="1"/>
  <c r="G564" i="3"/>
  <c r="H564" i="3" s="1"/>
  <c r="G103" i="3"/>
  <c r="H103" i="3" s="1"/>
  <c r="G248" i="3"/>
  <c r="H248" i="3" s="1"/>
  <c r="G309" i="3"/>
  <c r="H309" i="3" s="1"/>
  <c r="G645" i="3"/>
  <c r="H645" i="3" s="1"/>
  <c r="G199" i="3"/>
  <c r="H199" i="3" s="1"/>
  <c r="G444" i="3"/>
  <c r="H444" i="3" s="1"/>
  <c r="G174" i="3"/>
  <c r="H174" i="3" s="1"/>
  <c r="G259" i="3"/>
  <c r="H259" i="3" s="1"/>
  <c r="G313" i="3"/>
  <c r="H313" i="3" s="1"/>
  <c r="G279" i="3"/>
  <c r="H279" i="3" s="1"/>
  <c r="G626" i="3"/>
  <c r="H626" i="3" s="1"/>
  <c r="G156" i="3"/>
  <c r="H156" i="3" s="1"/>
  <c r="G475" i="3"/>
  <c r="H475" i="3" s="1"/>
  <c r="G269" i="3"/>
  <c r="H269" i="3" s="1"/>
  <c r="G541" i="3"/>
  <c r="H541" i="3" s="1"/>
  <c r="G176" i="3"/>
  <c r="H176" i="3" s="1"/>
  <c r="G664" i="3"/>
  <c r="H664" i="3" s="1"/>
  <c r="G334" i="3"/>
  <c r="H334" i="3" s="1"/>
  <c r="G107" i="3"/>
  <c r="H107" i="3" s="1"/>
  <c r="G94" i="3"/>
  <c r="H94" i="3" s="1"/>
  <c r="G329" i="3"/>
  <c r="H329" i="3" s="1"/>
  <c r="G646" i="3"/>
  <c r="H646" i="3" s="1"/>
  <c r="G266" i="3"/>
  <c r="H266" i="3" s="1"/>
  <c r="G450" i="3"/>
  <c r="H450" i="3" s="1"/>
  <c r="G244" i="3"/>
  <c r="H244" i="3" s="1"/>
  <c r="G587" i="3"/>
  <c r="H587" i="3" s="1"/>
  <c r="G660" i="3"/>
  <c r="H660" i="3" s="1"/>
  <c r="G480" i="3"/>
  <c r="H480" i="3" s="1"/>
  <c r="G192" i="3"/>
  <c r="H192" i="3" s="1"/>
  <c r="G485" i="3"/>
  <c r="H485" i="3" s="1"/>
  <c r="G429" i="3"/>
  <c r="H429" i="3" s="1"/>
  <c r="G86" i="3"/>
  <c r="H86" i="3" s="1"/>
  <c r="G221" i="3"/>
  <c r="H221" i="3" s="1"/>
  <c r="G237" i="3"/>
  <c r="H237" i="3" s="1"/>
  <c r="G466" i="3"/>
  <c r="H466" i="3" s="1"/>
  <c r="G357" i="3"/>
  <c r="H357" i="3" s="1"/>
  <c r="G403" i="3"/>
  <c r="H403" i="3" s="1"/>
  <c r="G332" i="3"/>
  <c r="H332" i="3" s="1"/>
  <c r="G120" i="3"/>
  <c r="H120" i="3" s="1"/>
  <c r="G448" i="3"/>
  <c r="H448" i="3" s="1"/>
  <c r="F542" i="2"/>
  <c r="F108" i="2"/>
  <c r="G281" i="3"/>
  <c r="H281" i="3" s="1"/>
  <c r="G136" i="3"/>
  <c r="H136" i="3" s="1"/>
  <c r="G384" i="3"/>
  <c r="H384" i="3" s="1"/>
  <c r="G181" i="3"/>
  <c r="H181" i="3" s="1"/>
  <c r="G132" i="3"/>
  <c r="H132" i="3" s="1"/>
  <c r="G435" i="3"/>
  <c r="H435" i="3" s="1"/>
  <c r="G415" i="3"/>
  <c r="H415" i="3" s="1"/>
  <c r="G603" i="3"/>
  <c r="H603" i="3" s="1"/>
  <c r="G7" i="3"/>
  <c r="H7" i="3" s="1"/>
  <c r="G127" i="3"/>
  <c r="H127" i="3" s="1"/>
  <c r="G249" i="3"/>
  <c r="H249" i="3" s="1"/>
  <c r="G56" i="3"/>
  <c r="H56" i="3" s="1"/>
  <c r="G305" i="3"/>
  <c r="H305" i="3" s="1"/>
  <c r="G211" i="3"/>
  <c r="H211" i="3" s="1"/>
  <c r="G605" i="3"/>
  <c r="H605" i="3" s="1"/>
  <c r="G319" i="3"/>
  <c r="H319" i="3" s="1"/>
  <c r="G273" i="3"/>
  <c r="H273" i="3" s="1"/>
  <c r="G169" i="3"/>
  <c r="H169" i="3" s="1"/>
  <c r="G374" i="3"/>
  <c r="H374" i="3" s="1"/>
  <c r="G29" i="3"/>
  <c r="H29" i="3" s="1"/>
  <c r="G425" i="3"/>
  <c r="H425" i="3" s="1"/>
  <c r="G458" i="3"/>
  <c r="H458" i="3" s="1"/>
  <c r="F97" i="2"/>
  <c r="F203" i="2"/>
  <c r="F265" i="2"/>
  <c r="F372" i="2"/>
  <c r="F369" i="2"/>
  <c r="F438" i="2"/>
  <c r="F37" i="2"/>
  <c r="F468" i="2"/>
  <c r="F528" i="2"/>
  <c r="F306" i="2"/>
  <c r="F75" i="2"/>
  <c r="G566" i="3"/>
  <c r="H566" i="3" s="1"/>
  <c r="G214" i="3"/>
  <c r="H214" i="3" s="1"/>
  <c r="G362" i="3"/>
  <c r="H362" i="3" s="1"/>
  <c r="G491" i="3"/>
  <c r="H491" i="3" s="1"/>
  <c r="G412" i="3"/>
  <c r="H412" i="3" s="1"/>
  <c r="G78" i="3"/>
  <c r="H78" i="3" s="1"/>
  <c r="G35" i="3"/>
  <c r="H35" i="3" s="1"/>
  <c r="G81" i="3"/>
  <c r="H81" i="3" s="1"/>
  <c r="F11" i="2"/>
  <c r="G524" i="3"/>
  <c r="H524" i="3" s="1"/>
  <c r="G535" i="3"/>
  <c r="H535" i="3" s="1"/>
  <c r="G468" i="3"/>
  <c r="H468" i="3" s="1"/>
  <c r="G311" i="3"/>
  <c r="H311" i="3" s="1"/>
  <c r="G637" i="3"/>
  <c r="H637" i="3" s="1"/>
  <c r="G521" i="3"/>
  <c r="H521" i="3" s="1"/>
  <c r="G254" i="3"/>
  <c r="H254" i="3" s="1"/>
  <c r="G54" i="3"/>
  <c r="H54" i="3" s="1"/>
  <c r="G517" i="3"/>
  <c r="H517" i="3" s="1"/>
  <c r="G342" i="3"/>
  <c r="H342" i="3" s="1"/>
  <c r="G241" i="3"/>
  <c r="H241" i="3" s="1"/>
  <c r="G508" i="3"/>
  <c r="H508" i="3" s="1"/>
  <c r="G50" i="3"/>
  <c r="H50" i="3" s="1"/>
  <c r="G288" i="3"/>
  <c r="H288" i="3" s="1"/>
  <c r="G25" i="3"/>
  <c r="H25" i="3" s="1"/>
  <c r="G129" i="3"/>
  <c r="H129" i="3" s="1"/>
  <c r="G363" i="3"/>
  <c r="H363" i="3" s="1"/>
  <c r="G65" i="3"/>
  <c r="H65" i="3" s="1"/>
  <c r="G260" i="3"/>
  <c r="H260" i="3" s="1"/>
  <c r="G184" i="3"/>
  <c r="H184" i="3" s="1"/>
  <c r="G589" i="3"/>
  <c r="H589" i="3" s="1"/>
  <c r="G665" i="3"/>
  <c r="H665" i="3" s="1"/>
  <c r="G614" i="3"/>
  <c r="H614" i="3" s="1"/>
  <c r="G336" i="3"/>
  <c r="H336" i="3" s="1"/>
  <c r="G350" i="3"/>
  <c r="H350" i="3" s="1"/>
  <c r="F237" i="2"/>
  <c r="F406" i="2"/>
  <c r="F219" i="2"/>
  <c r="F401" i="2"/>
  <c r="F527" i="2"/>
  <c r="F200" i="2"/>
  <c r="F204" i="2"/>
  <c r="F105" i="2"/>
  <c r="F261" i="2"/>
  <c r="F502" i="2"/>
  <c r="F330" i="2"/>
  <c r="F171" i="2"/>
  <c r="F104" i="2"/>
  <c r="F363" i="2"/>
  <c r="F239" i="2"/>
  <c r="F15" i="2"/>
  <c r="F129" i="2"/>
  <c r="F314" i="2"/>
  <c r="F543" i="2"/>
  <c r="F515" i="2"/>
  <c r="F469" i="2"/>
  <c r="F128" i="2"/>
  <c r="F26" i="2"/>
  <c r="F266" i="2"/>
  <c r="G490" i="3"/>
  <c r="H490" i="3" s="1"/>
  <c r="G232" i="3"/>
  <c r="H232" i="3" s="1"/>
  <c r="G395" i="3"/>
  <c r="H395" i="3" s="1"/>
  <c r="G295" i="3"/>
  <c r="H295" i="3" s="1"/>
  <c r="G465" i="3"/>
  <c r="H465" i="3" s="1"/>
  <c r="G597" i="3"/>
  <c r="H597" i="3" s="1"/>
  <c r="G161" i="3"/>
  <c r="H161" i="3" s="1"/>
  <c r="G640" i="3"/>
  <c r="H640" i="3" s="1"/>
  <c r="G15" i="3"/>
  <c r="H15" i="3" s="1"/>
  <c r="G511" i="3"/>
  <c r="H511" i="3" s="1"/>
  <c r="G543" i="3"/>
  <c r="H543" i="3" s="1"/>
  <c r="G433" i="3"/>
  <c r="H433" i="3" s="1"/>
  <c r="G352" i="3"/>
  <c r="H352" i="3" s="1"/>
  <c r="G300" i="3"/>
  <c r="H300" i="3" s="1"/>
  <c r="G600" i="3"/>
  <c r="H600" i="3" s="1"/>
  <c r="G471" i="3"/>
  <c r="H471" i="3" s="1"/>
  <c r="G570" i="3"/>
  <c r="H570" i="3" s="1"/>
  <c r="G606" i="3"/>
  <c r="H606" i="3" s="1"/>
  <c r="G528" i="3"/>
  <c r="H528" i="3" s="1"/>
  <c r="G193" i="3"/>
  <c r="H193" i="3" s="1"/>
  <c r="G335" i="3"/>
  <c r="H335" i="3" s="1"/>
  <c r="G592" i="3"/>
  <c r="H592" i="3" s="1"/>
  <c r="G146" i="3"/>
  <c r="H146" i="3" s="1"/>
  <c r="G383" i="3"/>
  <c r="H383" i="3" s="1"/>
  <c r="G436" i="3"/>
  <c r="H436" i="3" s="1"/>
  <c r="G413" i="3"/>
  <c r="H413" i="3" s="1"/>
  <c r="G431" i="3"/>
  <c r="H431" i="3" s="1"/>
  <c r="G212" i="3"/>
  <c r="H212" i="3" s="1"/>
  <c r="G416" i="3"/>
  <c r="H416" i="3" s="1"/>
  <c r="G93" i="3"/>
  <c r="H93" i="3" s="1"/>
  <c r="G406" i="3"/>
  <c r="H406" i="3" s="1"/>
  <c r="G474" i="3"/>
  <c r="H474" i="3" s="1"/>
  <c r="G455" i="3"/>
  <c r="H455" i="3" s="1"/>
  <c r="G171" i="3"/>
  <c r="H171" i="3" s="1"/>
  <c r="G514" i="3"/>
  <c r="H514" i="3" s="1"/>
  <c r="G515" i="3"/>
  <c r="H515" i="3" s="1"/>
  <c r="G26" i="3"/>
  <c r="H26" i="3" s="1"/>
  <c r="G101" i="3"/>
  <c r="H101" i="3" s="1"/>
  <c r="G507" i="3"/>
  <c r="H507" i="3" s="1"/>
  <c r="G40" i="3"/>
  <c r="H40" i="3" s="1"/>
  <c r="G427" i="3"/>
  <c r="H427" i="3" s="1"/>
  <c r="G346" i="3"/>
  <c r="H346" i="3" s="1"/>
  <c r="G367" i="3"/>
  <c r="H367" i="3" s="1"/>
  <c r="G218" i="3"/>
  <c r="H218" i="3" s="1"/>
  <c r="F182" i="2"/>
  <c r="F125" i="2"/>
  <c r="B324" i="3"/>
  <c r="B264" i="3"/>
  <c r="B498" i="3"/>
  <c r="G155" i="3"/>
  <c r="H155" i="3" s="1"/>
  <c r="G463" i="3"/>
  <c r="H463" i="3" s="1"/>
  <c r="G210" i="3"/>
  <c r="H210" i="3" s="1"/>
  <c r="G385" i="3"/>
  <c r="H385" i="3" s="1"/>
  <c r="G179" i="3"/>
  <c r="H179" i="3" s="1"/>
  <c r="G220" i="3"/>
  <c r="H220" i="3" s="1"/>
  <c r="G235" i="3"/>
  <c r="H235" i="3" s="1"/>
  <c r="G476" i="3"/>
  <c r="H476" i="3" s="1"/>
  <c r="G575" i="3"/>
  <c r="H575" i="3" s="1"/>
  <c r="G529" i="3"/>
  <c r="H529" i="3" s="1"/>
  <c r="G539" i="3"/>
  <c r="H539" i="3" s="1"/>
  <c r="G206" i="3"/>
  <c r="H206" i="3" s="1"/>
  <c r="G440" i="3"/>
  <c r="H440" i="3" s="1"/>
  <c r="G354" i="3"/>
  <c r="H354" i="3" s="1"/>
  <c r="G265" i="3"/>
  <c r="H265" i="3" s="1"/>
  <c r="G142" i="3"/>
  <c r="H142" i="3" s="1"/>
  <c r="F271" i="2"/>
  <c r="B582" i="3"/>
  <c r="B162" i="3"/>
  <c r="G71" i="3"/>
  <c r="H71" i="3" s="1"/>
  <c r="G219" i="3"/>
  <c r="H219" i="3" s="1"/>
  <c r="G256" i="3"/>
  <c r="H256" i="3" s="1"/>
  <c r="F143" i="2"/>
  <c r="F131" i="2"/>
  <c r="F208" i="2"/>
  <c r="F488" i="2"/>
  <c r="F392" i="2"/>
  <c r="B520" i="3"/>
  <c r="B44" i="3"/>
  <c r="B305" i="3"/>
  <c r="B159" i="3"/>
  <c r="B290" i="3"/>
  <c r="B384" i="3"/>
  <c r="B617" i="3"/>
  <c r="B252" i="3"/>
  <c r="B423" i="3"/>
  <c r="B479" i="3"/>
  <c r="B303" i="3"/>
  <c r="B539" i="3"/>
  <c r="B585" i="3"/>
  <c r="B569" i="3"/>
  <c r="B145" i="3"/>
  <c r="B166" i="3"/>
  <c r="B5" i="3"/>
  <c r="B205" i="3"/>
  <c r="B243" i="3"/>
  <c r="G47" i="3"/>
  <c r="H47" i="3" s="1"/>
  <c r="G583" i="3"/>
  <c r="H583" i="3" s="1"/>
  <c r="G36" i="3"/>
  <c r="H36" i="3" s="1"/>
  <c r="G594" i="3"/>
  <c r="H594" i="3" s="1"/>
  <c r="G76" i="3"/>
  <c r="H76" i="3" s="1"/>
  <c r="G51" i="3"/>
  <c r="H51" i="3" s="1"/>
  <c r="G628" i="3"/>
  <c r="H628" i="3" s="1"/>
  <c r="G297" i="3"/>
  <c r="H297" i="3" s="1"/>
  <c r="G168" i="3"/>
  <c r="H168" i="3" s="1"/>
  <c r="G180" i="3"/>
  <c r="H180" i="3" s="1"/>
  <c r="G636" i="3"/>
  <c r="H636" i="3" s="1"/>
  <c r="G544" i="3"/>
  <c r="H544" i="3" s="1"/>
  <c r="G533" i="3"/>
  <c r="H533" i="3" s="1"/>
  <c r="G24" i="3"/>
  <c r="H24" i="3" s="1"/>
  <c r="G148" i="3"/>
  <c r="H148" i="3" s="1"/>
  <c r="G140" i="3"/>
  <c r="H140" i="3" s="1"/>
  <c r="G644" i="3"/>
  <c r="H644" i="3" s="1"/>
  <c r="G115" i="3"/>
  <c r="H115" i="3" s="1"/>
  <c r="G449" i="3"/>
  <c r="H449" i="3" s="1"/>
  <c r="G308" i="3"/>
  <c r="H308" i="3" s="1"/>
  <c r="G187" i="3"/>
  <c r="H187" i="3" s="1"/>
  <c r="F319" i="2"/>
  <c r="F180" i="2"/>
  <c r="F56" i="2"/>
  <c r="B206" i="3"/>
  <c r="B552" i="3"/>
  <c r="B34" i="3"/>
  <c r="B350" i="3"/>
  <c r="B224" i="3"/>
  <c r="B574" i="3"/>
  <c r="B341" i="3"/>
  <c r="B409" i="3"/>
  <c r="B448" i="3"/>
  <c r="B386" i="3"/>
  <c r="B232" i="3"/>
  <c r="B91" i="3"/>
  <c r="B374" i="3"/>
  <c r="B515" i="3"/>
  <c r="B79" i="3"/>
  <c r="B352" i="3"/>
  <c r="B331" i="3"/>
  <c r="B460" i="3"/>
  <c r="B567" i="3"/>
  <c r="B42" i="3"/>
  <c r="B366" i="3"/>
  <c r="G123" i="3"/>
  <c r="H123" i="3" s="1"/>
  <c r="G147" i="3"/>
  <c r="H147" i="3" s="1"/>
  <c r="G48" i="3"/>
  <c r="H48" i="3" s="1"/>
  <c r="G111" i="3"/>
  <c r="H111" i="3" s="1"/>
  <c r="G642" i="3"/>
  <c r="H642" i="3" s="1"/>
  <c r="G397" i="3"/>
  <c r="H397" i="3" s="1"/>
  <c r="G349" i="3"/>
  <c r="H349" i="3" s="1"/>
  <c r="G584" i="3"/>
  <c r="H584" i="3" s="1"/>
  <c r="G49" i="3"/>
  <c r="H49" i="3" s="1"/>
  <c r="G567" i="3"/>
  <c r="H567" i="3" s="1"/>
  <c r="G31" i="3"/>
  <c r="H31" i="3" s="1"/>
  <c r="G652" i="3"/>
  <c r="H652" i="3" s="1"/>
  <c r="G499" i="3"/>
  <c r="H499" i="3" s="1"/>
  <c r="G66" i="3"/>
  <c r="H66" i="3" s="1"/>
  <c r="G284" i="3"/>
  <c r="H284" i="3" s="1"/>
  <c r="G613" i="3"/>
  <c r="H613" i="3" s="1"/>
  <c r="G79" i="3"/>
  <c r="H79" i="3" s="1"/>
  <c r="G658" i="3"/>
  <c r="H658" i="3" s="1"/>
  <c r="G478" i="3"/>
  <c r="H478" i="3" s="1"/>
  <c r="G4" i="3"/>
  <c r="H4" i="3" s="1"/>
  <c r="G486" i="3"/>
  <c r="H486" i="3" s="1"/>
  <c r="G420" i="3"/>
  <c r="H420" i="3" s="1"/>
  <c r="G292" i="3"/>
  <c r="H292" i="3" s="1"/>
  <c r="G197" i="3"/>
  <c r="H197" i="3" s="1"/>
  <c r="G546" i="3"/>
  <c r="H546" i="3" s="1"/>
  <c r="G320" i="3"/>
  <c r="H320" i="3" s="1"/>
  <c r="G377" i="3"/>
  <c r="H377" i="3" s="1"/>
  <c r="G526" i="3"/>
  <c r="H526" i="3" s="1"/>
  <c r="G130" i="3"/>
  <c r="H130" i="3" s="1"/>
  <c r="G595" i="3"/>
  <c r="H595" i="3" s="1"/>
  <c r="G410" i="3"/>
  <c r="H410" i="3" s="1"/>
  <c r="G496" i="3"/>
  <c r="H496" i="3" s="1"/>
  <c r="G663" i="3"/>
  <c r="H663" i="3" s="1"/>
  <c r="G326" i="3"/>
  <c r="H326" i="3" s="1"/>
  <c r="G61" i="3"/>
  <c r="H61" i="3" s="1"/>
  <c r="G229" i="3"/>
  <c r="H229" i="3" s="1"/>
  <c r="G102" i="3"/>
  <c r="H102" i="3" s="1"/>
  <c r="G223" i="3"/>
  <c r="H223" i="3" s="1"/>
  <c r="G509" i="3"/>
  <c r="H509" i="3" s="1"/>
  <c r="G523" i="3"/>
  <c r="H523" i="3" s="1"/>
  <c r="G577" i="3"/>
  <c r="H577" i="3" s="1"/>
  <c r="G588" i="3"/>
  <c r="H588" i="3" s="1"/>
  <c r="G414" i="3"/>
  <c r="H414" i="3" s="1"/>
  <c r="G563" i="3"/>
  <c r="H563" i="3" s="1"/>
  <c r="G361" i="3"/>
  <c r="H361" i="3" s="1"/>
  <c r="G489" i="3"/>
  <c r="H489" i="3" s="1"/>
  <c r="G623" i="3"/>
  <c r="H623" i="3" s="1"/>
  <c r="G95" i="3"/>
  <c r="H95" i="3" s="1"/>
  <c r="G290" i="3"/>
  <c r="H290" i="3" s="1"/>
  <c r="G355" i="3"/>
  <c r="H355" i="3" s="1"/>
  <c r="G251" i="3"/>
  <c r="H251" i="3" s="1"/>
  <c r="G624" i="3"/>
  <c r="H624" i="3" s="1"/>
  <c r="G247" i="3"/>
  <c r="H247" i="3" s="1"/>
  <c r="G135" i="3"/>
  <c r="H135" i="3" s="1"/>
  <c r="F286" i="2"/>
  <c r="G89" i="3"/>
  <c r="H89" i="3" s="1"/>
  <c r="G574" i="3"/>
  <c r="H574" i="3" s="1"/>
  <c r="G194" i="3"/>
  <c r="H194" i="3" s="1"/>
  <c r="G457" i="3"/>
  <c r="H457" i="3" s="1"/>
  <c r="G667" i="3"/>
  <c r="H667" i="3" s="1"/>
  <c r="G128" i="3"/>
  <c r="H128" i="3" s="1"/>
  <c r="G113" i="3"/>
  <c r="H113" i="3" s="1"/>
  <c r="G469" i="3"/>
  <c r="H469" i="3" s="1"/>
  <c r="G348" i="3"/>
  <c r="H348" i="3" s="1"/>
  <c r="G310" i="3"/>
  <c r="H310" i="3" s="1"/>
  <c r="G467" i="3"/>
  <c r="H467" i="3" s="1"/>
  <c r="G333" i="3"/>
  <c r="H333" i="3" s="1"/>
  <c r="G30" i="3"/>
  <c r="H30" i="3" s="1"/>
  <c r="G540" i="3"/>
  <c r="H540" i="3" s="1"/>
  <c r="G565" i="3"/>
  <c r="H565" i="3" s="1"/>
  <c r="G602" i="3"/>
  <c r="H602" i="3" s="1"/>
  <c r="G516" i="3"/>
  <c r="H516" i="3" s="1"/>
  <c r="G261" i="3"/>
  <c r="H261" i="3" s="1"/>
  <c r="G530" i="3"/>
  <c r="H530" i="3" s="1"/>
  <c r="G572" i="3"/>
  <c r="H572" i="3" s="1"/>
  <c r="G542" i="3"/>
  <c r="H542" i="3" s="1"/>
  <c r="G351" i="3"/>
  <c r="H351" i="3" s="1"/>
  <c r="G117" i="3"/>
  <c r="H117" i="3" s="1"/>
  <c r="G402" i="3"/>
  <c r="H402" i="3" s="1"/>
  <c r="G104" i="3"/>
  <c r="H104" i="3" s="1"/>
  <c r="G622" i="3"/>
  <c r="H622" i="3" s="1"/>
  <c r="G452" i="3"/>
  <c r="H452" i="3" s="1"/>
  <c r="G447" i="3"/>
  <c r="H447" i="3" s="1"/>
  <c r="G213" i="3"/>
  <c r="H213" i="3" s="1"/>
  <c r="B669" i="3"/>
  <c r="G669" i="3"/>
  <c r="H669" i="3" s="1"/>
  <c r="B668" i="3"/>
  <c r="G649" i="3"/>
  <c r="H649" i="3" s="1"/>
  <c r="G12" i="3"/>
  <c r="H12" i="3" s="1"/>
  <c r="G55" i="3"/>
  <c r="H55" i="3" s="1"/>
  <c r="G632" i="3"/>
  <c r="H632" i="3" s="1"/>
  <c r="G106" i="3"/>
  <c r="H106" i="3" s="1"/>
  <c r="G139" i="3"/>
  <c r="H139" i="3" s="1"/>
  <c r="F533" i="2"/>
  <c r="F10" i="2"/>
  <c r="F495" i="2"/>
  <c r="F27" i="2"/>
  <c r="F420" i="2"/>
  <c r="F90" i="2"/>
  <c r="F42" i="2"/>
  <c r="F12" i="2"/>
  <c r="F325" i="2"/>
  <c r="F158" i="2"/>
  <c r="F214" i="2"/>
  <c r="F54" i="2"/>
  <c r="F491" i="2"/>
  <c r="F513" i="2"/>
  <c r="F448" i="2"/>
  <c r="G186" i="3"/>
  <c r="H186" i="3" s="1"/>
  <c r="G83" i="3"/>
  <c r="H83" i="3" s="1"/>
  <c r="G405" i="3"/>
  <c r="H405" i="3" s="1"/>
  <c r="G253" i="3"/>
  <c r="H253" i="3" s="1"/>
  <c r="G84" i="3"/>
  <c r="H84" i="3" s="1"/>
  <c r="G518" i="3"/>
  <c r="H518" i="3" s="1"/>
  <c r="G289" i="3"/>
  <c r="H289" i="3" s="1"/>
  <c r="G257" i="3"/>
  <c r="H257" i="3" s="1"/>
  <c r="G631" i="3"/>
  <c r="H631" i="3" s="1"/>
  <c r="G462" i="3"/>
  <c r="H462" i="3" s="1"/>
  <c r="G666" i="3"/>
  <c r="H666" i="3" s="1"/>
  <c r="G519" i="3"/>
  <c r="H519" i="3" s="1"/>
  <c r="G460" i="3"/>
  <c r="H460" i="3" s="1"/>
  <c r="G358" i="3"/>
  <c r="H358" i="3" s="1"/>
  <c r="G337" i="3"/>
  <c r="H337" i="3" s="1"/>
  <c r="G554" i="3"/>
  <c r="H554" i="3" s="1"/>
  <c r="G325" i="3"/>
  <c r="H325" i="3" s="1"/>
  <c r="G525" i="3"/>
  <c r="H525" i="3" s="1"/>
  <c r="G23" i="3"/>
  <c r="H23" i="3" s="1"/>
  <c r="G91" i="3"/>
  <c r="H91" i="3" s="1"/>
  <c r="G538" i="3"/>
  <c r="H538" i="3" s="1"/>
  <c r="G138" i="3"/>
  <c r="H138" i="3" s="1"/>
  <c r="G64" i="3"/>
  <c r="H64" i="3" s="1"/>
  <c r="G196" i="3"/>
  <c r="H196" i="3" s="1"/>
  <c r="G537" i="3"/>
  <c r="H537" i="3" s="1"/>
  <c r="G125" i="3"/>
  <c r="H125" i="3" s="1"/>
  <c r="G154" i="3"/>
  <c r="H154" i="3" s="1"/>
  <c r="G8" i="3"/>
  <c r="H8" i="3" s="1"/>
  <c r="G590" i="3"/>
  <c r="H590" i="3" s="1"/>
  <c r="G423" i="3"/>
  <c r="H423" i="3" s="1"/>
  <c r="F424" i="2"/>
  <c r="F403" i="2"/>
  <c r="F516" i="2"/>
  <c r="F53" i="2"/>
  <c r="F193" i="2"/>
  <c r="F429" i="2"/>
  <c r="F43" i="2"/>
  <c r="F275" i="2"/>
  <c r="F153" i="2"/>
  <c r="F199" i="2"/>
  <c r="F137" i="2"/>
  <c r="F80" i="2"/>
  <c r="G662" i="3"/>
  <c r="H662" i="3" s="1"/>
  <c r="F263" i="2"/>
  <c r="F81" i="2"/>
  <c r="F113" i="2"/>
  <c r="B279" i="3"/>
  <c r="B283" i="3"/>
  <c r="B172" i="3"/>
  <c r="B235" i="3"/>
  <c r="B394" i="3"/>
  <c r="B421" i="3"/>
  <c r="B214" i="3"/>
  <c r="B592" i="3"/>
  <c r="B446" i="3"/>
  <c r="B31" i="3"/>
  <c r="B157" i="3"/>
  <c r="B589" i="3"/>
  <c r="B437" i="3"/>
  <c r="B257" i="3"/>
  <c r="B287" i="3"/>
  <c r="B92" i="3"/>
  <c r="B475" i="3"/>
  <c r="B21" i="3"/>
  <c r="B93" i="3"/>
  <c r="B194" i="3"/>
  <c r="B231" i="3"/>
  <c r="B654" i="3"/>
  <c r="B401" i="3"/>
  <c r="B90" i="3"/>
  <c r="B665" i="3"/>
  <c r="B107" i="3"/>
  <c r="B618" i="3"/>
  <c r="B48" i="3"/>
  <c r="B101" i="3"/>
  <c r="B570" i="3"/>
  <c r="B554" i="3"/>
  <c r="B329" i="3"/>
  <c r="B619" i="3"/>
  <c r="B89" i="3"/>
  <c r="B62" i="3"/>
  <c r="B426" i="3"/>
  <c r="B464" i="3"/>
  <c r="B155" i="3"/>
  <c r="B571" i="3"/>
  <c r="B8" i="3"/>
  <c r="B226" i="3"/>
  <c r="B98" i="3"/>
  <c r="G498" i="3"/>
  <c r="H498" i="3" s="1"/>
  <c r="F531" i="2"/>
  <c r="G648" i="3"/>
  <c r="H648" i="3" s="1"/>
  <c r="G145" i="3"/>
  <c r="H145" i="3" s="1"/>
  <c r="F243" i="2"/>
  <c r="F297" i="2"/>
  <c r="F334" i="2"/>
  <c r="F504" i="2"/>
  <c r="F417" i="2"/>
  <c r="F198" i="2"/>
  <c r="G360" i="3"/>
  <c r="H360" i="3" s="1"/>
  <c r="G207" i="3"/>
  <c r="H207" i="3" s="1"/>
  <c r="G612" i="3"/>
  <c r="H612" i="3" s="1"/>
  <c r="G275" i="3"/>
  <c r="H275" i="3" s="1"/>
  <c r="G282" i="3"/>
  <c r="H282" i="3" s="1"/>
  <c r="G74" i="3"/>
  <c r="H74" i="3" s="1"/>
  <c r="G633" i="3"/>
  <c r="H633" i="3" s="1"/>
  <c r="G182" i="3"/>
  <c r="H182" i="3" s="1"/>
  <c r="G421" i="3"/>
  <c r="H421" i="3" s="1"/>
  <c r="G550" i="3"/>
  <c r="H550" i="3" s="1"/>
  <c r="G616" i="3"/>
  <c r="H616" i="3" s="1"/>
  <c r="G620" i="3"/>
  <c r="H620" i="3" s="1"/>
  <c r="G392" i="3"/>
  <c r="H392" i="3" s="1"/>
  <c r="G578" i="3"/>
  <c r="H578" i="3" s="1"/>
  <c r="G240" i="3"/>
  <c r="H240" i="3" s="1"/>
  <c r="G551" i="3"/>
  <c r="H551" i="3" s="1"/>
  <c r="G398" i="3"/>
  <c r="H398" i="3" s="1"/>
  <c r="G625" i="3"/>
  <c r="H625" i="3" s="1"/>
  <c r="G44" i="3"/>
  <c r="H44" i="3" s="1"/>
  <c r="G330" i="3"/>
  <c r="H330" i="3" s="1"/>
  <c r="G314" i="3"/>
  <c r="H314" i="3" s="1"/>
  <c r="G321" i="3"/>
  <c r="H321" i="3" s="1"/>
  <c r="G547" i="3"/>
  <c r="H547" i="3" s="1"/>
  <c r="G428" i="3"/>
  <c r="H428" i="3" s="1"/>
  <c r="G370" i="3"/>
  <c r="H370" i="3" s="1"/>
  <c r="G492" i="3"/>
  <c r="H492" i="3" s="1"/>
  <c r="G298" i="3"/>
  <c r="H298" i="3" s="1"/>
  <c r="G437" i="3"/>
  <c r="H437" i="3" s="1"/>
  <c r="G262" i="3"/>
  <c r="H262" i="3" s="1"/>
  <c r="G654" i="3"/>
  <c r="H654" i="3" s="1"/>
  <c r="G99" i="3"/>
  <c r="H99" i="3" s="1"/>
  <c r="G408" i="3"/>
  <c r="H408" i="3" s="1"/>
  <c r="G483" i="3"/>
  <c r="H483" i="3" s="1"/>
  <c r="G224" i="3"/>
  <c r="H224" i="3" s="1"/>
  <c r="G503" i="3"/>
  <c r="H503" i="3" s="1"/>
  <c r="G324" i="3"/>
  <c r="H324" i="3" s="1"/>
  <c r="F283" i="2"/>
  <c r="F164" i="2"/>
  <c r="G236" i="3"/>
  <c r="H236" i="3" s="1"/>
  <c r="G638" i="3"/>
  <c r="H638" i="3" s="1"/>
  <c r="G60" i="3"/>
  <c r="H60" i="3" s="1"/>
  <c r="G238" i="3"/>
  <c r="H238" i="3" s="1"/>
  <c r="G522" i="3"/>
  <c r="H522" i="3" s="1"/>
  <c r="G424" i="3"/>
  <c r="H424" i="3" s="1"/>
  <c r="G368" i="3"/>
  <c r="H368" i="3" s="1"/>
  <c r="G443" i="3"/>
  <c r="H443" i="3" s="1"/>
  <c r="G418" i="3"/>
  <c r="H418" i="3" s="1"/>
  <c r="G586" i="3"/>
  <c r="H586" i="3" s="1"/>
  <c r="G9" i="3"/>
  <c r="H9" i="3" s="1"/>
  <c r="G375" i="3"/>
  <c r="H375" i="3" s="1"/>
  <c r="G512" i="3"/>
  <c r="H512" i="3" s="1"/>
  <c r="G481" i="3"/>
  <c r="H481" i="3" s="1"/>
  <c r="G615" i="3"/>
  <c r="H615" i="3" s="1"/>
  <c r="G441" i="3"/>
  <c r="H441" i="3" s="1"/>
  <c r="G394" i="3"/>
  <c r="H394" i="3" s="1"/>
  <c r="G302" i="3"/>
  <c r="H302" i="3" s="1"/>
  <c r="G531" i="3"/>
  <c r="H531" i="3" s="1"/>
  <c r="G126" i="3"/>
  <c r="H126" i="3" s="1"/>
  <c r="G306" i="3"/>
  <c r="H306" i="3" s="1"/>
  <c r="G276" i="3"/>
  <c r="H276" i="3" s="1"/>
  <c r="G37" i="3"/>
  <c r="H37" i="3" s="1"/>
  <c r="G72" i="3"/>
  <c r="H72" i="3" s="1"/>
  <c r="G267" i="3"/>
  <c r="H267" i="3" s="1"/>
  <c r="G609" i="3"/>
  <c r="H609" i="3" s="1"/>
  <c r="G215" i="3"/>
  <c r="H215" i="3" s="1"/>
  <c r="G580" i="3"/>
  <c r="H580" i="3" s="1"/>
  <c r="G159" i="3"/>
  <c r="H159" i="3" s="1"/>
  <c r="G604" i="3"/>
  <c r="H604" i="3" s="1"/>
  <c r="G453" i="3"/>
  <c r="H453" i="3" s="1"/>
  <c r="G599" i="3"/>
  <c r="H599" i="3" s="1"/>
  <c r="G501" i="3"/>
  <c r="H501" i="3" s="1"/>
  <c r="G390" i="3"/>
  <c r="H390" i="3" s="1"/>
  <c r="G258" i="3"/>
  <c r="H258" i="3" s="1"/>
  <c r="G278" i="3"/>
  <c r="H278" i="3" s="1"/>
  <c r="G596" i="3"/>
  <c r="H596" i="3" s="1"/>
  <c r="G17" i="3"/>
  <c r="H17" i="3" s="1"/>
  <c r="G230" i="3"/>
  <c r="H230" i="3" s="1"/>
  <c r="G656" i="3"/>
  <c r="H656" i="3" s="1"/>
  <c r="G344" i="3"/>
  <c r="H344" i="3" s="1"/>
  <c r="G27" i="3"/>
  <c r="H27" i="3" s="1"/>
  <c r="G657" i="3"/>
  <c r="H657" i="3" s="1"/>
  <c r="G286" i="3"/>
  <c r="H286" i="3" s="1"/>
  <c r="G386" i="3"/>
  <c r="H386" i="3" s="1"/>
  <c r="G201" i="3"/>
  <c r="H201" i="3" s="1"/>
  <c r="G68" i="3"/>
  <c r="H68" i="3" s="1"/>
  <c r="G378" i="3"/>
  <c r="H378" i="3" s="1"/>
  <c r="G494" i="3"/>
  <c r="H494" i="3" s="1"/>
  <c r="G133" i="3"/>
  <c r="H133" i="3" s="1"/>
  <c r="G121" i="3"/>
  <c r="H121" i="3" s="1"/>
  <c r="G364" i="3"/>
  <c r="H364" i="3" s="1"/>
  <c r="G226" i="3"/>
  <c r="H226" i="3" s="1"/>
  <c r="G271" i="3"/>
  <c r="H271" i="3" s="1"/>
  <c r="G312" i="3"/>
  <c r="H312" i="3" s="1"/>
  <c r="G388" i="3"/>
  <c r="H388" i="3" s="1"/>
  <c r="G650" i="3"/>
  <c r="H650" i="3" s="1"/>
  <c r="G150" i="3"/>
  <c r="H150" i="3" s="1"/>
  <c r="G618" i="3"/>
  <c r="H618" i="3" s="1"/>
  <c r="G143" i="3"/>
  <c r="H143" i="3" s="1"/>
  <c r="G317" i="3"/>
  <c r="H317" i="3" s="1"/>
  <c r="G327" i="3"/>
  <c r="H327" i="3" s="1"/>
  <c r="G190" i="3"/>
  <c r="H190" i="3" s="1"/>
  <c r="G203" i="3"/>
  <c r="H203" i="3" s="1"/>
  <c r="G381" i="3"/>
  <c r="H381" i="3" s="1"/>
  <c r="G552" i="3"/>
  <c r="H552" i="3" s="1"/>
  <c r="G20" i="3"/>
  <c r="H20" i="3" s="1"/>
  <c r="G303" i="3"/>
  <c r="H303" i="3" s="1"/>
  <c r="G561" i="3"/>
  <c r="H561" i="3" s="1"/>
  <c r="G556" i="3"/>
  <c r="H556" i="3" s="1"/>
  <c r="G607" i="3"/>
  <c r="H607" i="3" s="1"/>
  <c r="G188" i="3"/>
  <c r="H188" i="3" s="1"/>
  <c r="G472" i="3"/>
  <c r="H472" i="3" s="1"/>
  <c r="G96" i="3"/>
  <c r="H96" i="3" s="1"/>
  <c r="G242" i="3"/>
  <c r="H242" i="3" s="1"/>
  <c r="G464" i="3"/>
  <c r="H464" i="3" s="1"/>
  <c r="G6" i="3"/>
  <c r="H6" i="3" s="1"/>
  <c r="G263" i="3"/>
  <c r="H263" i="3" s="1"/>
  <c r="F270" i="2"/>
  <c r="F426" i="2"/>
  <c r="F82" i="2"/>
  <c r="F48" i="2"/>
  <c r="F354" i="2"/>
  <c r="F357" i="2"/>
  <c r="F430" i="2"/>
  <c r="F118" i="2"/>
  <c r="F494" i="2"/>
  <c r="F478" i="2"/>
  <c r="F154" i="2"/>
  <c r="F220" i="2"/>
  <c r="F367" i="2"/>
  <c r="F83" i="2"/>
  <c r="F233" i="2"/>
  <c r="F244" i="2"/>
  <c r="F471" i="2"/>
  <c r="F73" i="2"/>
  <c r="F133" i="2"/>
  <c r="F162" i="2"/>
  <c r="F312" i="2"/>
  <c r="F380" i="2"/>
  <c r="F534" i="2"/>
  <c r="F287" i="2"/>
  <c r="F197" i="2"/>
  <c r="F301" i="2"/>
  <c r="F374" i="2"/>
  <c r="F201" i="2"/>
  <c r="F360" i="2"/>
  <c r="F359" i="2"/>
  <c r="F393" i="2"/>
  <c r="F85" i="2"/>
  <c r="F76" i="2"/>
  <c r="F532" i="2"/>
  <c r="B424" i="3"/>
  <c r="B108" i="3"/>
  <c r="B512" i="3"/>
  <c r="B483" i="3"/>
  <c r="B485" i="3"/>
  <c r="B418" i="3"/>
  <c r="B117" i="3"/>
  <c r="B13" i="3"/>
  <c r="B203" i="3"/>
  <c r="B550" i="3"/>
  <c r="B73" i="3"/>
  <c r="B251" i="3"/>
  <c r="B149" i="3"/>
  <c r="B527" i="3"/>
  <c r="B349" i="3"/>
  <c r="B630" i="3"/>
  <c r="B169" i="3"/>
  <c r="B147" i="3"/>
  <c r="B222" i="3"/>
  <c r="B390" i="3"/>
  <c r="B143" i="3"/>
  <c r="B415" i="3"/>
  <c r="B623" i="3"/>
  <c r="B609" i="3"/>
  <c r="B23" i="3"/>
  <c r="B652" i="3"/>
  <c r="B118" i="3"/>
  <c r="B112" i="3"/>
  <c r="B217" i="3"/>
  <c r="B614" i="3"/>
  <c r="B326" i="3"/>
  <c r="B84" i="3"/>
  <c r="B547" i="3"/>
  <c r="B408" i="3"/>
  <c r="B316" i="3"/>
  <c r="B369" i="3"/>
  <c r="B170" i="3"/>
  <c r="B456" i="3"/>
  <c r="B494" i="3"/>
  <c r="B204" i="3"/>
  <c r="B76" i="3"/>
  <c r="G157" i="3"/>
  <c r="H157" i="3" s="1"/>
  <c r="G13" i="3"/>
  <c r="H13" i="3" s="1"/>
  <c r="G175" i="3"/>
  <c r="H175" i="3" s="1"/>
  <c r="F196" i="2"/>
  <c r="F79" i="2"/>
  <c r="F246" i="2"/>
  <c r="F391" i="2"/>
  <c r="F456" i="2"/>
  <c r="F251" i="2"/>
  <c r="F414" i="2"/>
  <c r="F536" i="2"/>
  <c r="F364" i="2"/>
  <c r="F507" i="2"/>
  <c r="F31" i="2"/>
  <c r="F500" i="2"/>
  <c r="F320" i="2"/>
  <c r="F322" i="2"/>
  <c r="F453" i="2"/>
  <c r="F510" i="2"/>
  <c r="F308" i="2"/>
  <c r="F318" i="2"/>
  <c r="F157" i="2"/>
  <c r="F479" i="2"/>
  <c r="F151" i="2"/>
  <c r="F35" i="2"/>
  <c r="F21" i="2"/>
  <c r="F23" i="2"/>
  <c r="F452" i="2"/>
  <c r="F213" i="2"/>
  <c r="F290" i="2"/>
  <c r="F454" i="2"/>
  <c r="F378" i="2"/>
  <c r="F376" i="2"/>
  <c r="F106" i="2"/>
  <c r="F47" i="2"/>
  <c r="F384" i="2"/>
  <c r="B487" i="3"/>
  <c r="B359" i="3"/>
  <c r="B354" i="3"/>
  <c r="B60" i="3"/>
  <c r="B641" i="3"/>
  <c r="B43" i="3"/>
  <c r="B595" i="3"/>
  <c r="B330" i="3"/>
  <c r="B510" i="3"/>
  <c r="B52" i="3"/>
  <c r="B658" i="3"/>
  <c r="B632" i="3"/>
  <c r="B598" i="3"/>
  <c r="B396" i="3"/>
  <c r="B14" i="3"/>
  <c r="B56" i="3"/>
  <c r="B629" i="3"/>
  <c r="B213" i="3"/>
  <c r="B114" i="3"/>
  <c r="B422" i="3"/>
  <c r="B404" i="3"/>
  <c r="B209" i="3"/>
  <c r="B70" i="3"/>
  <c r="B308" i="3"/>
  <c r="B559" i="3"/>
  <c r="B276" i="3"/>
  <c r="B302" i="3"/>
  <c r="B376" i="3"/>
  <c r="B411" i="3"/>
  <c r="B40" i="3"/>
  <c r="B158" i="3"/>
  <c r="B650" i="3"/>
  <c r="B208" i="3"/>
  <c r="B381" i="3"/>
  <c r="B219" i="3"/>
  <c r="B445" i="3"/>
  <c r="B523" i="3"/>
  <c r="B532" i="3"/>
  <c r="B246" i="3"/>
  <c r="B72" i="3"/>
  <c r="B584" i="3"/>
  <c r="B612" i="3"/>
  <c r="G131" i="3"/>
  <c r="H131" i="3" s="1"/>
  <c r="G198" i="3"/>
  <c r="H198" i="3" s="1"/>
  <c r="G231" i="3"/>
  <c r="H231" i="3" s="1"/>
  <c r="F373" i="2"/>
  <c r="F512" i="2"/>
  <c r="F339" i="2"/>
  <c r="F385" i="2"/>
  <c r="F257" i="2"/>
  <c r="F155" i="2"/>
  <c r="F163" i="2"/>
  <c r="F241" i="2"/>
  <c r="F458" i="2"/>
  <c r="F544" i="2"/>
  <c r="F174" i="2"/>
  <c r="F78" i="2"/>
  <c r="F116" i="2"/>
  <c r="F460" i="2"/>
  <c r="F467" i="2"/>
  <c r="F254" i="2"/>
  <c r="F66" i="2"/>
  <c r="F99" i="2"/>
  <c r="F256" i="2"/>
  <c r="F70" i="2"/>
  <c r="F315" i="2"/>
  <c r="F486" i="2"/>
  <c r="F465" i="2"/>
  <c r="F503" i="2"/>
  <c r="F386" i="2"/>
  <c r="F84" i="2"/>
  <c r="F371" i="2"/>
  <c r="F435" i="2"/>
  <c r="F71" i="2"/>
  <c r="F34" i="2"/>
  <c r="F245" i="2"/>
  <c r="F33" i="2"/>
  <c r="F7" i="2"/>
  <c r="F95" i="2"/>
  <c r="B291" i="3"/>
  <c r="B16" i="3"/>
  <c r="B606" i="3"/>
  <c r="B440" i="3"/>
  <c r="B59" i="3"/>
  <c r="B490" i="3"/>
  <c r="B294" i="3"/>
  <c r="B488" i="3"/>
  <c r="B22" i="3"/>
  <c r="B382" i="3"/>
  <c r="B596" i="3"/>
  <c r="B152" i="3"/>
  <c r="B334" i="3"/>
  <c r="B160" i="3"/>
  <c r="B476" i="3"/>
  <c r="B171" i="3"/>
  <c r="B136" i="3"/>
  <c r="B109" i="3"/>
  <c r="B447" i="3"/>
  <c r="B327" i="3"/>
  <c r="B306" i="3"/>
  <c r="B97" i="3"/>
  <c r="B481" i="3"/>
  <c r="B124" i="3"/>
  <c r="B207" i="3"/>
  <c r="B375" i="3"/>
  <c r="B513" i="3"/>
  <c r="B197" i="3"/>
  <c r="B472" i="3"/>
  <c r="B58" i="3"/>
  <c r="B368" i="3"/>
  <c r="B94" i="3"/>
  <c r="B435" i="3"/>
  <c r="B293" i="3"/>
  <c r="B335" i="3"/>
  <c r="B68" i="3"/>
  <c r="B519" i="3"/>
  <c r="B249" i="3"/>
  <c r="B416" i="3"/>
  <c r="B507" i="3"/>
  <c r="B581" i="3"/>
  <c r="B580" i="3"/>
  <c r="G372" i="3"/>
  <c r="H372" i="3" s="1"/>
  <c r="G151" i="3"/>
  <c r="H151" i="3" s="1"/>
  <c r="G227" i="3"/>
  <c r="H227" i="3" s="1"/>
  <c r="F472" i="2"/>
  <c r="F481" i="2"/>
  <c r="F102" i="2"/>
  <c r="F412" i="2"/>
  <c r="F14" i="2"/>
  <c r="F67" i="2"/>
  <c r="F490" i="2"/>
  <c r="F45" i="2"/>
  <c r="F475" i="2"/>
  <c r="F119" i="2"/>
  <c r="F425" i="2"/>
  <c r="F65" i="2"/>
  <c r="F447" i="2"/>
  <c r="F141" i="2"/>
  <c r="F337" i="2"/>
  <c r="F172" i="2"/>
  <c r="F365" i="2"/>
  <c r="F353" i="2"/>
  <c r="F264" i="2"/>
  <c r="F115" i="2"/>
  <c r="F470" i="2"/>
  <c r="F255" i="2"/>
  <c r="F519" i="2"/>
  <c r="F167" i="2"/>
  <c r="F537" i="2"/>
  <c r="F253" i="2"/>
  <c r="F226" i="2"/>
  <c r="F269" i="2"/>
  <c r="F387" i="2"/>
  <c r="F299" i="2"/>
  <c r="F103" i="2"/>
  <c r="F232" i="2"/>
  <c r="F277" i="2"/>
  <c r="F390" i="2"/>
  <c r="B234" i="3"/>
  <c r="B470" i="3"/>
  <c r="B505" i="3"/>
  <c r="B9" i="3"/>
  <c r="B83" i="3"/>
  <c r="B312" i="3"/>
  <c r="B364" i="3"/>
  <c r="B150" i="3"/>
  <c r="B466" i="3"/>
  <c r="B417" i="3"/>
  <c r="B196" i="3"/>
  <c r="B636" i="3"/>
  <c r="B624" i="3"/>
  <c r="B578" i="3"/>
  <c r="B347" i="3"/>
  <c r="B318" i="3"/>
  <c r="B26" i="3"/>
  <c r="B130" i="3"/>
  <c r="B129" i="3"/>
  <c r="B33" i="3"/>
  <c r="B310" i="3"/>
  <c r="B100" i="3"/>
  <c r="B239" i="3"/>
  <c r="B81" i="3"/>
  <c r="B497" i="3"/>
  <c r="B627" i="3"/>
  <c r="B414" i="3"/>
  <c r="B489" i="3"/>
  <c r="B173" i="3"/>
  <c r="B47" i="3"/>
  <c r="B87" i="3"/>
  <c r="B406" i="3"/>
  <c r="B486" i="3"/>
  <c r="B474" i="3"/>
  <c r="B442" i="3"/>
  <c r="B504" i="3"/>
  <c r="B201" i="3"/>
  <c r="B223" i="3"/>
  <c r="B439" i="3"/>
  <c r="B189" i="3"/>
  <c r="B379" i="3"/>
  <c r="B338" i="3"/>
  <c r="G108" i="3"/>
  <c r="H108" i="3" s="1"/>
  <c r="G432" i="3"/>
  <c r="H432" i="3" s="1"/>
  <c r="G14" i="3"/>
  <c r="H14" i="3" s="1"/>
  <c r="F235" i="2"/>
  <c r="F296" i="2"/>
  <c r="F509" i="2"/>
  <c r="F498" i="2"/>
  <c r="F342" i="2"/>
  <c r="F44" i="2"/>
  <c r="F59" i="2"/>
  <c r="F51" i="2"/>
  <c r="F444" i="2"/>
  <c r="F497" i="2"/>
  <c r="F514" i="2"/>
  <c r="F91" i="2"/>
  <c r="F310" i="2"/>
  <c r="F477" i="2"/>
  <c r="F295" i="2"/>
  <c r="F252" i="2"/>
  <c r="F211" i="2"/>
  <c r="F272" i="2"/>
  <c r="F382" i="2"/>
  <c r="F474" i="2"/>
  <c r="F305" i="2"/>
  <c r="F323" i="2"/>
  <c r="F395" i="2"/>
  <c r="F207" i="2"/>
  <c r="F464" i="2"/>
  <c r="F230" i="2"/>
  <c r="F130" i="2"/>
  <c r="F183" i="2"/>
  <c r="F402" i="2"/>
  <c r="F179" i="2"/>
  <c r="F212" i="2"/>
  <c r="F381" i="2"/>
  <c r="F122" i="2"/>
  <c r="F94" i="2"/>
  <c r="B455" i="3"/>
  <c r="B161" i="3"/>
  <c r="B590" i="3"/>
  <c r="B111" i="3"/>
  <c r="B19" i="3"/>
  <c r="B620" i="3"/>
  <c r="B46" i="3"/>
  <c r="B41" i="3"/>
  <c r="B551" i="3"/>
  <c r="B393" i="3"/>
  <c r="B599" i="3"/>
  <c r="B174" i="3"/>
  <c r="B95" i="3"/>
  <c r="B156" i="3"/>
  <c r="B397" i="3"/>
  <c r="B85" i="3"/>
  <c r="B273" i="3"/>
  <c r="B199" i="3"/>
  <c r="B566" i="3"/>
  <c r="B564" i="3"/>
  <c r="B50" i="3"/>
  <c r="B218" i="3"/>
  <c r="B597" i="3"/>
  <c r="B508" i="3"/>
  <c r="B250" i="3"/>
  <c r="B398" i="3"/>
  <c r="B478" i="3"/>
  <c r="B634" i="3"/>
  <c r="B545" i="3"/>
  <c r="B54" i="3"/>
  <c r="B400" i="3"/>
  <c r="B153" i="3"/>
  <c r="B524" i="3"/>
  <c r="B343" i="3"/>
  <c r="B307" i="3"/>
  <c r="B427" i="3"/>
  <c r="B656" i="3"/>
  <c r="B3" i="3"/>
  <c r="B121" i="3"/>
  <c r="B649" i="3"/>
  <c r="B61" i="3"/>
  <c r="B272" i="3"/>
  <c r="G470" i="3"/>
  <c r="H470" i="3" s="1"/>
  <c r="G639" i="3"/>
  <c r="H639" i="3" s="1"/>
  <c r="F173" i="2"/>
  <c r="F399" i="2"/>
  <c r="F126" i="2"/>
  <c r="F117" i="2"/>
  <c r="F343" i="2"/>
  <c r="F228" i="2"/>
  <c r="F428" i="2"/>
  <c r="F459" i="2"/>
  <c r="F340" i="2"/>
  <c r="F473" i="2"/>
  <c r="F225" i="2"/>
  <c r="F525" i="2"/>
  <c r="F446" i="2"/>
  <c r="F124" i="2"/>
  <c r="F140" i="2"/>
  <c r="F127" i="2"/>
  <c r="F336" i="2"/>
  <c r="F351" i="2"/>
  <c r="F74" i="2"/>
  <c r="F416" i="2"/>
  <c r="F8" i="2"/>
  <c r="F146" i="2"/>
  <c r="F405" i="2"/>
  <c r="F57" i="2"/>
  <c r="F358" i="2"/>
  <c r="F427" i="2"/>
  <c r="F485" i="2"/>
  <c r="F28" i="2"/>
  <c r="F328" i="2"/>
  <c r="F268" i="2"/>
  <c r="F418" i="2"/>
  <c r="F441" i="2"/>
  <c r="F292" i="2"/>
  <c r="F298" i="2"/>
  <c r="B642" i="3"/>
  <c r="B271" i="3"/>
  <c r="B399" i="3"/>
  <c r="B480" i="3"/>
  <c r="B220" i="3"/>
  <c r="B538" i="3"/>
  <c r="B181" i="3"/>
  <c r="B285" i="3"/>
  <c r="B258" i="3"/>
  <c r="B657" i="3"/>
  <c r="B493" i="3"/>
  <c r="B496" i="3"/>
  <c r="B86" i="3"/>
  <c r="B449" i="3"/>
  <c r="B304" i="3"/>
  <c r="B389" i="3"/>
  <c r="B225" i="3"/>
  <c r="B123" i="3"/>
  <c r="B7" i="3"/>
  <c r="B314" i="3"/>
  <c r="B278" i="3"/>
  <c r="B444" i="3"/>
  <c r="B187" i="3"/>
  <c r="B45" i="3"/>
  <c r="B6" i="3"/>
  <c r="B164" i="3"/>
  <c r="B254" i="3"/>
  <c r="B212" i="3"/>
  <c r="B262" i="3"/>
  <c r="B473" i="3"/>
  <c r="B66" i="3"/>
  <c r="B36" i="3"/>
  <c r="B603" i="3"/>
  <c r="B530" i="3"/>
  <c r="B144" i="3"/>
  <c r="B298" i="3"/>
  <c r="B175" i="3"/>
  <c r="B328" i="3"/>
  <c r="B432" i="3"/>
  <c r="B323" i="3"/>
  <c r="B509" i="3"/>
  <c r="B238" i="3"/>
  <c r="F332" i="2"/>
  <c r="F194" i="2"/>
  <c r="F538" i="2"/>
  <c r="F189" i="2"/>
  <c r="F463" i="2"/>
  <c r="F293" i="2"/>
  <c r="F506" i="2"/>
  <c r="F150" i="2"/>
  <c r="F64" i="2"/>
  <c r="F530" i="2"/>
  <c r="F434" i="2"/>
  <c r="F331" i="2"/>
  <c r="B137" i="3"/>
  <c r="B346" i="3"/>
  <c r="B30" i="3"/>
  <c r="B367" i="3"/>
  <c r="B639" i="3"/>
  <c r="B536" i="3"/>
  <c r="B362" i="3"/>
  <c r="B141" i="3"/>
  <c r="B63" i="3"/>
  <c r="B259" i="3"/>
  <c r="B78" i="3"/>
  <c r="B433" i="3"/>
  <c r="B529" i="3"/>
  <c r="B167" i="3"/>
  <c r="B560" i="3"/>
  <c r="B518" i="3"/>
  <c r="B263" i="3"/>
  <c r="B537" i="3"/>
  <c r="B453" i="3"/>
  <c r="B315" i="3"/>
  <c r="B383" i="3"/>
  <c r="B613" i="3"/>
  <c r="B385" i="3"/>
  <c r="B549" i="3"/>
  <c r="B168" i="3"/>
  <c r="B540" i="3"/>
  <c r="B419" i="3"/>
  <c r="B11" i="3"/>
  <c r="B190" i="3"/>
  <c r="B451" i="3"/>
  <c r="B127" i="3"/>
  <c r="B651" i="3"/>
  <c r="B407" i="3"/>
  <c r="B607" i="3"/>
  <c r="B102" i="3"/>
  <c r="B103" i="3"/>
  <c r="B280" i="3"/>
  <c r="B339" i="3"/>
  <c r="B622" i="3"/>
  <c r="B268" i="3"/>
  <c r="B562" i="3"/>
  <c r="B434" i="3"/>
  <c r="G338" i="3"/>
  <c r="H338" i="3" s="1"/>
  <c r="G505" i="3"/>
  <c r="H505" i="3" s="1"/>
  <c r="G177" i="3"/>
  <c r="H177" i="3" s="1"/>
  <c r="F482" i="2"/>
  <c r="F222" i="2"/>
  <c r="F398" i="2"/>
  <c r="F324" i="2"/>
  <c r="F20" i="2"/>
  <c r="F227" i="2"/>
  <c r="F123" i="2"/>
  <c r="F249" i="2"/>
  <c r="F394" i="2"/>
  <c r="F98" i="2"/>
  <c r="F407" i="2"/>
  <c r="F493" i="2"/>
  <c r="F62" i="2"/>
  <c r="F121" i="2"/>
  <c r="F110" i="2"/>
  <c r="F46" i="2"/>
  <c r="F348" i="2"/>
  <c r="F192" i="2"/>
  <c r="F335" i="2"/>
  <c r="F17" i="2"/>
  <c r="F217" i="2"/>
  <c r="F30" i="2"/>
  <c r="F423" i="2"/>
  <c r="F511" i="2"/>
  <c r="F101" i="2"/>
  <c r="F210" i="2"/>
  <c r="F548" i="2"/>
  <c r="F16" i="2"/>
  <c r="F39" i="2"/>
  <c r="F240" i="2"/>
  <c r="F72" i="2"/>
  <c r="F267" i="2"/>
  <c r="F285" i="2"/>
  <c r="F185" i="2"/>
  <c r="B216" i="3"/>
  <c r="B17" i="3"/>
  <c r="B565" i="3"/>
  <c r="B358" i="3"/>
  <c r="B429" i="3"/>
  <c r="B425" i="3"/>
  <c r="B266" i="3"/>
  <c r="B638" i="3"/>
  <c r="B188" i="3"/>
  <c r="B602" i="3"/>
  <c r="B469" i="3"/>
  <c r="B57" i="3"/>
  <c r="B663" i="3"/>
  <c r="B517" i="3"/>
  <c r="B662" i="3"/>
  <c r="B96" i="3"/>
  <c r="B229" i="3"/>
  <c r="B655" i="3"/>
  <c r="B237" i="3"/>
  <c r="B116" i="3"/>
  <c r="B65" i="3"/>
  <c r="B228" i="3"/>
  <c r="B643" i="3"/>
  <c r="B561" i="3"/>
  <c r="B521" i="3"/>
  <c r="B531" i="3"/>
  <c r="B4" i="3"/>
  <c r="B370" i="3"/>
  <c r="B546" i="3"/>
  <c r="B133" i="3"/>
  <c r="B344" i="3"/>
  <c r="B333" i="3"/>
  <c r="B277" i="3"/>
  <c r="B244" i="3"/>
  <c r="B371" i="3"/>
  <c r="B165" i="3"/>
  <c r="B608" i="3"/>
  <c r="B39" i="3"/>
  <c r="B200" i="3"/>
  <c r="B628" i="3"/>
  <c r="B140" i="3"/>
  <c r="B12" i="3"/>
  <c r="F415" i="2"/>
  <c r="F61" i="2"/>
  <c r="F209" i="2"/>
  <c r="F109" i="2"/>
  <c r="F442" i="2"/>
  <c r="F22" i="2"/>
  <c r="F462" i="2"/>
  <c r="F484" i="2"/>
  <c r="F540" i="2"/>
  <c r="F436" i="2"/>
  <c r="F161" i="2"/>
  <c r="F274" i="2"/>
  <c r="B611" i="3"/>
  <c r="B660" i="3"/>
  <c r="B289" i="3"/>
  <c r="B555" i="3"/>
  <c r="B184" i="3"/>
  <c r="B270" i="3"/>
  <c r="B458" i="3"/>
  <c r="B541" i="3"/>
  <c r="B288" i="3"/>
  <c r="B119" i="3"/>
  <c r="B605" i="3"/>
  <c r="B309" i="3"/>
  <c r="B180" i="3"/>
  <c r="B575" i="3"/>
  <c r="B363" i="3"/>
  <c r="B514" i="3"/>
  <c r="B126" i="3"/>
  <c r="B198" i="3"/>
  <c r="B373" i="3"/>
  <c r="B215" i="3"/>
  <c r="B502" i="3"/>
  <c r="B412" i="3"/>
  <c r="B325" i="3"/>
  <c r="B461" i="3"/>
  <c r="B186" i="3"/>
  <c r="B256" i="3"/>
  <c r="B275" i="3"/>
  <c r="B563" i="3"/>
  <c r="B210" i="3"/>
  <c r="B573" i="3"/>
  <c r="B37" i="3"/>
  <c r="B647" i="3"/>
  <c r="B132" i="3"/>
  <c r="B202" i="3"/>
  <c r="B51" i="3"/>
  <c r="B292" i="3"/>
  <c r="B378" i="3"/>
  <c r="B106" i="3"/>
  <c r="B348" i="3"/>
  <c r="B430" i="3"/>
  <c r="B356" i="3"/>
  <c r="B242" i="3"/>
  <c r="G569" i="3"/>
  <c r="H569" i="3" s="1"/>
  <c r="G520" i="3"/>
  <c r="H520" i="3" s="1"/>
  <c r="G85" i="3"/>
  <c r="H85" i="3" s="1"/>
  <c r="G341" i="3"/>
  <c r="H341" i="3" s="1"/>
  <c r="F539" i="2"/>
  <c r="F521" i="2"/>
  <c r="F276" i="2"/>
  <c r="F147" i="2"/>
  <c r="F18" i="2"/>
  <c r="F388" i="2"/>
  <c r="F144" i="2"/>
  <c r="F496" i="2"/>
  <c r="F2" i="2"/>
  <c r="F408" i="2"/>
  <c r="F400" i="2"/>
  <c r="F89" i="2"/>
  <c r="F317" i="2"/>
  <c r="F191" i="2"/>
  <c r="F19" i="2"/>
  <c r="F440" i="2"/>
  <c r="F341" i="2"/>
  <c r="F489" i="2"/>
  <c r="F120" i="2"/>
  <c r="F100" i="2"/>
  <c r="F313" i="2"/>
  <c r="F451" i="2"/>
  <c r="F156" i="2"/>
  <c r="F50" i="2"/>
  <c r="F49" i="2"/>
  <c r="F145" i="2"/>
  <c r="F142" i="2"/>
  <c r="F206" i="2"/>
  <c r="F96" i="2"/>
  <c r="F433" i="2"/>
  <c r="F350" i="2"/>
  <c r="F461" i="2"/>
  <c r="F68" i="2"/>
  <c r="F139" i="2"/>
  <c r="F419" i="2"/>
  <c r="B282" i="3"/>
  <c r="B55" i="3"/>
  <c r="B255" i="3"/>
  <c r="B10" i="3"/>
  <c r="B591" i="3"/>
  <c r="B110" i="3"/>
  <c r="B342" i="3"/>
  <c r="B633" i="3"/>
  <c r="B553" i="3"/>
  <c r="B176" i="3"/>
  <c r="B236" i="3"/>
  <c r="B320" i="3"/>
  <c r="B357" i="3"/>
  <c r="B635" i="3"/>
  <c r="B297" i="3"/>
  <c r="B653" i="3"/>
  <c r="B139" i="3"/>
  <c r="B405" i="3"/>
  <c r="B586" i="3"/>
  <c r="B27" i="3"/>
  <c r="B477" i="3"/>
  <c r="B154" i="3"/>
  <c r="B195" i="3"/>
  <c r="B151" i="3"/>
  <c r="B182" i="3"/>
  <c r="B248" i="3"/>
  <c r="B281" i="3"/>
  <c r="B557" i="3"/>
  <c r="B365" i="3"/>
  <c r="B148" i="3"/>
  <c r="B667" i="3"/>
  <c r="B286" i="3"/>
  <c r="B661" i="3"/>
  <c r="B468" i="3"/>
  <c r="B577" i="3"/>
  <c r="B410" i="3"/>
  <c r="B80" i="3"/>
  <c r="B503" i="3"/>
  <c r="B253" i="3"/>
  <c r="B441" i="3"/>
  <c r="B388" i="3"/>
  <c r="G41" i="3"/>
  <c r="H41" i="3" s="1"/>
  <c r="G245" i="3"/>
  <c r="H245" i="3" s="1"/>
  <c r="G32" i="3"/>
  <c r="H32" i="3" s="1"/>
  <c r="F338" i="2"/>
  <c r="F132" i="2"/>
  <c r="F282" i="2"/>
  <c r="F409" i="2"/>
  <c r="F362" i="2"/>
  <c r="F304" i="2"/>
  <c r="F188" i="2"/>
  <c r="F218" i="2"/>
  <c r="F88" i="2"/>
  <c r="F38" i="2"/>
  <c r="F294" i="2"/>
  <c r="F6" i="2"/>
  <c r="F280" i="2"/>
  <c r="F307" i="2"/>
  <c r="F279" i="2"/>
  <c r="F281" i="2"/>
  <c r="F316" i="2"/>
  <c r="F327" i="2"/>
  <c r="F352" i="2"/>
  <c r="F136" i="2"/>
  <c r="F303" i="2"/>
  <c r="F329" i="2"/>
  <c r="F333" i="2"/>
  <c r="F190" i="2"/>
  <c r="F248" i="2"/>
  <c r="F92" i="2"/>
  <c r="F422" i="2"/>
  <c r="F221" i="2"/>
  <c r="F455" i="2"/>
  <c r="F508" i="2"/>
  <c r="F259" i="2"/>
  <c r="F273" i="2"/>
  <c r="F149" i="2"/>
  <c r="F236" i="2"/>
  <c r="B24" i="3"/>
  <c r="B313" i="3"/>
  <c r="B88" i="3"/>
  <c r="B645" i="3"/>
  <c r="B319" i="3"/>
  <c r="B245" i="3"/>
  <c r="B71" i="3"/>
  <c r="B67" i="3"/>
  <c r="B322" i="3"/>
  <c r="B241" i="3"/>
  <c r="B360" i="3"/>
  <c r="B142" i="3"/>
  <c r="B192" i="3"/>
  <c r="B377" i="3"/>
  <c r="B471" i="3"/>
  <c r="B178" i="3"/>
  <c r="B463" i="3"/>
  <c r="B454" i="3"/>
  <c r="B2" i="3"/>
  <c r="B535" i="3"/>
  <c r="B105" i="3"/>
  <c r="B420" i="3"/>
  <c r="B340" i="3"/>
  <c r="B648" i="3"/>
  <c r="B525" i="3"/>
  <c r="B177" i="3"/>
  <c r="B104" i="3"/>
  <c r="B484" i="3"/>
  <c r="B299" i="3"/>
  <c r="B317" i="3"/>
  <c r="B533" i="3"/>
  <c r="B387" i="3"/>
  <c r="B138" i="3"/>
  <c r="B587" i="3"/>
  <c r="B615" i="3"/>
  <c r="B593" i="3"/>
  <c r="B38" i="3"/>
  <c r="B185" i="3"/>
  <c r="B345" i="3"/>
  <c r="B443" i="3"/>
  <c r="B135" i="3"/>
  <c r="G172" i="3"/>
  <c r="H172" i="3" s="1"/>
  <c r="G163" i="3"/>
  <c r="H163" i="3" s="1"/>
  <c r="G52" i="3"/>
  <c r="H52" i="3" s="1"/>
  <c r="G400" i="3"/>
  <c r="H400" i="3" s="1"/>
  <c r="F529" i="2"/>
  <c r="F186" i="2"/>
  <c r="F107" i="2"/>
  <c r="F383" i="2"/>
  <c r="F87" i="2"/>
  <c r="F165" i="2"/>
  <c r="F549" i="2"/>
  <c r="F347" i="2"/>
  <c r="F41" i="2"/>
  <c r="F4" i="2"/>
  <c r="F443" i="2"/>
  <c r="F134" i="2"/>
  <c r="F238" i="2"/>
  <c r="F487" i="2"/>
  <c r="F410" i="2"/>
  <c r="F260" i="2"/>
  <c r="F370" i="2"/>
  <c r="F184" i="2"/>
  <c r="F547" i="2"/>
  <c r="F278" i="2"/>
  <c r="F375" i="2"/>
  <c r="F247" i="2"/>
  <c r="F152" i="2"/>
  <c r="F195" i="2"/>
  <c r="F345" i="2"/>
  <c r="F63" i="2"/>
  <c r="F526" i="2"/>
  <c r="F205" i="2"/>
  <c r="F187" i="2"/>
  <c r="F289" i="2"/>
  <c r="F176" i="2"/>
  <c r="F432" i="2"/>
  <c r="F112" i="2"/>
  <c r="F250" i="2"/>
  <c r="F135" i="2"/>
  <c r="B247" i="3"/>
  <c r="B604" i="3"/>
  <c r="B413" i="3"/>
  <c r="B284" i="3"/>
  <c r="B576" i="3"/>
  <c r="B372" i="3"/>
  <c r="B646" i="3"/>
  <c r="B516" i="3"/>
  <c r="B544" i="3"/>
  <c r="B462" i="3"/>
  <c r="B395" i="3"/>
  <c r="B128" i="3"/>
  <c r="B115" i="3"/>
  <c r="B131" i="3"/>
  <c r="B543" i="3"/>
  <c r="B436" i="3"/>
  <c r="B542" i="3"/>
  <c r="B32" i="3"/>
  <c r="B337" i="3"/>
  <c r="B134" i="3"/>
  <c r="B146" i="3"/>
  <c r="B659" i="3"/>
  <c r="B438" i="3"/>
  <c r="B64" i="3"/>
  <c r="B579" i="3"/>
  <c r="B163" i="3"/>
  <c r="B227" i="3"/>
  <c r="B522" i="3"/>
  <c r="B492" i="3"/>
  <c r="B230" i="3"/>
  <c r="B664" i="3"/>
  <c r="B69" i="3"/>
  <c r="B528" i="3"/>
  <c r="B269" i="3"/>
  <c r="B500" i="3"/>
  <c r="B600" i="3"/>
  <c r="B558" i="3"/>
  <c r="B548" i="3"/>
  <c r="B35" i="3"/>
  <c r="B125" i="3"/>
  <c r="B336" i="3"/>
  <c r="G293" i="3"/>
  <c r="H293" i="3" s="1"/>
  <c r="G581" i="3"/>
  <c r="H581" i="3" s="1"/>
  <c r="G38" i="3"/>
  <c r="H38" i="3" s="1"/>
  <c r="G557" i="3"/>
  <c r="H557" i="3" s="1"/>
  <c r="F159" i="2"/>
  <c r="F224" i="2"/>
  <c r="F160" i="2"/>
  <c r="F36" i="2"/>
  <c r="F450" i="2"/>
  <c r="F284" i="2"/>
  <c r="F346" i="2"/>
  <c r="F541" i="2"/>
  <c r="F60" i="2"/>
  <c r="F356" i="2"/>
  <c r="F69" i="2"/>
  <c r="F421" i="2"/>
  <c r="F138" i="2"/>
  <c r="F166" i="2"/>
  <c r="F24" i="2"/>
  <c r="F449" i="2"/>
  <c r="F437" i="2"/>
  <c r="F178" i="2"/>
  <c r="F25" i="2"/>
  <c r="F396" i="2"/>
  <c r="F404" i="2"/>
  <c r="F77" i="2"/>
  <c r="F439" i="2"/>
  <c r="F302" i="2"/>
  <c r="F168" i="2"/>
  <c r="F505" i="2"/>
  <c r="F361" i="2"/>
  <c r="F231" i="2"/>
  <c r="F13" i="2"/>
  <c r="F389" i="2"/>
  <c r="F411" i="2"/>
  <c r="F326" i="2"/>
  <c r="F349" i="2"/>
  <c r="F3" i="2"/>
  <c r="F242" i="2"/>
  <c r="B588" i="3"/>
  <c r="B300" i="3"/>
  <c r="B640" i="3"/>
  <c r="B295" i="3"/>
  <c r="B428" i="3"/>
  <c r="B491" i="3"/>
  <c r="B380" i="3"/>
  <c r="B616" i="3"/>
  <c r="B431" i="3"/>
  <c r="B311" i="3"/>
  <c r="B77" i="3"/>
  <c r="B233" i="3"/>
  <c r="B179" i="3"/>
  <c r="B53" i="3"/>
  <c r="B403" i="3"/>
  <c r="B511" i="3"/>
  <c r="B18" i="3"/>
  <c r="B450" i="3"/>
  <c r="B637" i="3"/>
  <c r="B296" i="3"/>
  <c r="B260" i="3"/>
  <c r="B621" i="3"/>
  <c r="B631" i="3"/>
  <c r="B467" i="3"/>
  <c r="B261" i="3"/>
  <c r="B361" i="3"/>
  <c r="B122" i="3"/>
  <c r="B120" i="3"/>
  <c r="B666" i="3"/>
  <c r="B499" i="3"/>
  <c r="B82" i="3"/>
  <c r="B625" i="3"/>
  <c r="B240" i="3"/>
  <c r="B583" i="3"/>
  <c r="B211" i="3"/>
  <c r="B74" i="3"/>
  <c r="B20" i="3"/>
  <c r="B274" i="3"/>
  <c r="B332" i="3"/>
  <c r="B457" i="3"/>
  <c r="B601" i="3"/>
</calcChain>
</file>

<file path=xl/sharedStrings.xml><?xml version="1.0" encoding="utf-8"?>
<sst xmlns="http://schemas.openxmlformats.org/spreadsheetml/2006/main" count="16" uniqueCount="13">
  <si>
    <t>date</t>
  </si>
  <si>
    <t>ecy</t>
  </si>
  <si>
    <t>cpi</t>
  </si>
  <si>
    <t>long_rates</t>
  </si>
  <si>
    <t>inflation</t>
  </si>
  <si>
    <t>real_rate</t>
  </si>
  <si>
    <t>sp_earnings</t>
  </si>
  <si>
    <t>ltr</t>
  </si>
  <si>
    <t>sp_real_earnings</t>
  </si>
  <si>
    <t>long-rate_m</t>
  </si>
  <si>
    <t>real_rate_10</t>
  </si>
  <si>
    <t>ltr_monthly</t>
  </si>
  <si>
    <t>sp_div_real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</si>
</sst>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A1A1A"/>
      <name val="Roboto Condensed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9D57985-4AC5-4AA8-8FED-D66E38B598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5D82-F300-41D6-89B7-1A964CE4FD56}">
  <dimension ref="A1:F561"/>
  <sheetViews>
    <sheetView topLeftCell="A523" workbookViewId="0">
      <selection activeCell="E550" sqref="E550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0.140625" customWidth="1"/>
    <col min="4" max="4" width="12" bestFit="1" customWidth="1"/>
    <col min="5" max="5" width="9.140625" style="1"/>
  </cols>
  <sheetData>
    <row r="1" spans="1:6" x14ac:dyDescent="0.25">
      <c r="A1" t="s">
        <v>0</v>
      </c>
      <c r="B1" t="s">
        <v>1</v>
      </c>
      <c r="C1" t="s">
        <v>3</v>
      </c>
      <c r="D1" t="s">
        <v>9</v>
      </c>
      <c r="E1" s="1" t="s">
        <v>4</v>
      </c>
      <c r="F1" t="s">
        <v>5</v>
      </c>
    </row>
    <row r="2" spans="1:6" x14ac:dyDescent="0.25">
      <c r="A2" t="str">
        <f t="array" ref="A2:A561">_xll.YCDS("I:SP500ECY",,"1980-01-01")</f>
        <v>1980-01-31</v>
      </c>
      <c r="B2">
        <f t="array" aca="1" ref="B2:B561" ca="1">_xll.YCS("I:SP500ECY",,"1980-01-01")</f>
        <v>7.9799999999999996E-2</v>
      </c>
      <c r="C2">
        <f t="array" aca="1" ref="C2:C561" ca="1">_xll.YCS("I:usltir",,"1980-01-01")</f>
        <v>0.108</v>
      </c>
      <c r="D2">
        <f ca="1">C2/12</f>
        <v>8.9999999999999993E-3</v>
      </c>
      <c r="E2" s="1">
        <f t="array" aca="1" ref="E2:E560" ca="1">_xll.YCS("I:us1mccpi",,"1980-01-01")</f>
        <v>1.4E-2</v>
      </c>
      <c r="F2" s="1">
        <f ca="1">D2-E2</f>
        <v>-5.000000000000001E-3</v>
      </c>
    </row>
    <row r="3" spans="1:6" x14ac:dyDescent="0.25">
      <c r="A3" t="str">
        <v>1980-02-29</v>
      </c>
      <c r="B3">
        <f ca="1"/>
        <v>6.2100000000000002E-2</v>
      </c>
      <c r="C3">
        <f ca="1"/>
        <v>0.1241</v>
      </c>
      <c r="D3">
        <f t="shared" ref="D3:D66" ca="1" si="0">C3/12</f>
        <v>1.0341666666666667E-2</v>
      </c>
      <c r="E3" s="1">
        <f ca="1"/>
        <v>1.2999999999999999E-2</v>
      </c>
      <c r="F3" s="1">
        <f t="shared" ref="F3:F66" ca="1" si="1">D3-E3</f>
        <v>-2.658333333333332E-3</v>
      </c>
    </row>
    <row r="4" spans="1:6" x14ac:dyDescent="0.25">
      <c r="A4" t="str">
        <v>1980-03-31</v>
      </c>
      <c r="B4">
        <f ca="1"/>
        <v>7.3099999999999998E-2</v>
      </c>
      <c r="C4">
        <f ca="1"/>
        <v>0.1275</v>
      </c>
      <c r="D4">
        <f t="shared" ca="1" si="0"/>
        <v>1.0625000000000001E-2</v>
      </c>
      <c r="E4" s="1">
        <f ca="1"/>
        <v>1.4E-2</v>
      </c>
      <c r="F4" s="1">
        <f t="shared" ca="1" si="1"/>
        <v>-3.3749999999999995E-3</v>
      </c>
    </row>
    <row r="5" spans="1:6" x14ac:dyDescent="0.25">
      <c r="A5" t="str">
        <v>1980-04-30</v>
      </c>
      <c r="B5">
        <f ca="1"/>
        <v>0.09</v>
      </c>
      <c r="C5">
        <f ca="1"/>
        <v>0.1147</v>
      </c>
      <c r="D5">
        <f t="shared" ca="1" si="0"/>
        <v>9.5583333333333336E-3</v>
      </c>
      <c r="E5" s="1">
        <f ca="1"/>
        <v>0.01</v>
      </c>
      <c r="F5" s="1">
        <f t="shared" ca="1" si="1"/>
        <v>-4.416666666666666E-4</v>
      </c>
    </row>
    <row r="6" spans="1:6" x14ac:dyDescent="0.25">
      <c r="A6" t="str">
        <v>1980-05-31</v>
      </c>
      <c r="B6">
        <f ca="1"/>
        <v>9.9599999999999994E-2</v>
      </c>
      <c r="C6">
        <f ca="1"/>
        <v>0.1018</v>
      </c>
      <c r="D6">
        <f t="shared" ca="1" si="0"/>
        <v>8.483333333333334E-3</v>
      </c>
      <c r="E6" s="1">
        <f ca="1"/>
        <v>0.01</v>
      </c>
      <c r="F6" s="1">
        <f t="shared" ca="1" si="1"/>
        <v>-1.5166666666666662E-3</v>
      </c>
    </row>
    <row r="7" spans="1:6" x14ac:dyDescent="0.25">
      <c r="A7" t="str">
        <v>1980-06-30</v>
      </c>
      <c r="B7">
        <f ca="1"/>
        <v>9.8299999999999998E-2</v>
      </c>
      <c r="C7">
        <f ca="1"/>
        <v>9.7799999999999998E-2</v>
      </c>
      <c r="D7">
        <f t="shared" ca="1" si="0"/>
        <v>8.1499999999999993E-3</v>
      </c>
      <c r="E7" s="1">
        <f ca="1"/>
        <v>0.01</v>
      </c>
      <c r="F7" s="1">
        <f t="shared" ca="1" si="1"/>
        <v>-1.8500000000000009E-3</v>
      </c>
    </row>
    <row r="8" spans="1:6" x14ac:dyDescent="0.25">
      <c r="A8" t="str">
        <v>1980-07-31</v>
      </c>
      <c r="B8">
        <f ca="1"/>
        <v>8.8200000000000001E-2</v>
      </c>
      <c r="C8">
        <f ca="1"/>
        <v>0.10249999999999999</v>
      </c>
      <c r="D8">
        <f t="shared" ca="1" si="0"/>
        <v>8.5416666666666662E-3</v>
      </c>
      <c r="E8" s="1">
        <f ca="1"/>
        <v>1E-3</v>
      </c>
      <c r="F8" s="1">
        <f t="shared" ca="1" si="1"/>
        <v>7.5416666666666661E-3</v>
      </c>
    </row>
    <row r="9" spans="1:6" x14ac:dyDescent="0.25">
      <c r="A9" t="str">
        <v>1980-08-31</v>
      </c>
      <c r="B9">
        <f ca="1"/>
        <v>7.8100000000000003E-2</v>
      </c>
      <c r="C9">
        <f ca="1"/>
        <v>0.111</v>
      </c>
      <c r="D9">
        <f t="shared" ca="1" si="0"/>
        <v>9.2499999999999995E-3</v>
      </c>
      <c r="E9" s="1">
        <f ca="1"/>
        <v>7.0000000000000001E-3</v>
      </c>
      <c r="F9" s="1">
        <f t="shared" ca="1" si="1"/>
        <v>2.2499999999999994E-3</v>
      </c>
    </row>
    <row r="10" spans="1:6" x14ac:dyDescent="0.25">
      <c r="A10" t="str">
        <v>1980-09-30</v>
      </c>
      <c r="B10">
        <f ca="1"/>
        <v>7.2800000000000004E-2</v>
      </c>
      <c r="C10">
        <f ca="1"/>
        <v>0.11509999999999999</v>
      </c>
      <c r="D10">
        <f t="shared" ca="1" si="0"/>
        <v>9.5916666666666667E-3</v>
      </c>
      <c r="E10" s="1">
        <f ca="1"/>
        <v>8.0000000000000002E-3</v>
      </c>
      <c r="F10" s="1">
        <f t="shared" ca="1" si="1"/>
        <v>1.5916666666666666E-3</v>
      </c>
    </row>
    <row r="11" spans="1:6" x14ac:dyDescent="0.25">
      <c r="A11" t="str">
        <v>1980-10-31</v>
      </c>
      <c r="B11">
        <f ca="1"/>
        <v>6.9000000000000006E-2</v>
      </c>
      <c r="C11">
        <f ca="1"/>
        <v>0.11749999999999999</v>
      </c>
      <c r="D11">
        <f t="shared" ca="1" si="0"/>
        <v>9.7916666666666655E-3</v>
      </c>
      <c r="E11" s="1">
        <f ca="1"/>
        <v>0.01</v>
      </c>
      <c r="F11" s="1">
        <f t="shared" ca="1" si="1"/>
        <v>-2.0833333333333467E-4</v>
      </c>
    </row>
    <row r="12" spans="1:6" x14ac:dyDescent="0.25">
      <c r="A12" t="str">
        <v>1980-11-30</v>
      </c>
      <c r="B12">
        <f ca="1"/>
        <v>5.6800000000000003E-2</v>
      </c>
      <c r="C12">
        <f ca="1"/>
        <v>0.1268</v>
      </c>
      <c r="D12">
        <f t="shared" ca="1" si="0"/>
        <v>1.0566666666666667E-2</v>
      </c>
      <c r="E12" s="1">
        <f ca="1"/>
        <v>1.0999999999999999E-2</v>
      </c>
      <c r="F12" s="1">
        <f t="shared" ca="1" si="1"/>
        <v>-4.3333333333333245E-4</v>
      </c>
    </row>
    <row r="13" spans="1:6" x14ac:dyDescent="0.25">
      <c r="A13" t="str">
        <v>1980-12-31</v>
      </c>
      <c r="B13">
        <f ca="1"/>
        <v>5.8599999999999999E-2</v>
      </c>
      <c r="C13">
        <f ca="1"/>
        <v>0.12839999999999999</v>
      </c>
      <c r="D13">
        <f t="shared" ca="1" si="0"/>
        <v>1.0699999999999999E-2</v>
      </c>
      <c r="E13" s="1">
        <f ca="1"/>
        <v>8.9999999999999993E-3</v>
      </c>
      <c r="F13" s="1">
        <f t="shared" ca="1" si="1"/>
        <v>1.7000000000000001E-3</v>
      </c>
    </row>
    <row r="14" spans="1:6" x14ac:dyDescent="0.25">
      <c r="A14" t="str">
        <v>1981-01-31</v>
      </c>
      <c r="B14">
        <f ca="1"/>
        <v>6.3600000000000004E-2</v>
      </c>
      <c r="C14">
        <f ca="1"/>
        <v>0.12570000000000001</v>
      </c>
      <c r="D14">
        <f t="shared" ca="1" si="0"/>
        <v>1.0475E-2</v>
      </c>
      <c r="E14" s="1">
        <f ca="1"/>
        <v>8.9999999999999993E-3</v>
      </c>
      <c r="F14" s="1">
        <f t="shared" ca="1" si="1"/>
        <v>1.4750000000000006E-3</v>
      </c>
    </row>
    <row r="15" spans="1:6" x14ac:dyDescent="0.25">
      <c r="A15" t="str">
        <v>1981-02-28</v>
      </c>
      <c r="B15">
        <f ca="1"/>
        <v>6.3500000000000001E-2</v>
      </c>
      <c r="C15">
        <f ca="1"/>
        <v>0.13189999999999999</v>
      </c>
      <c r="D15">
        <f t="shared" ca="1" si="0"/>
        <v>1.0991666666666665E-2</v>
      </c>
      <c r="E15" s="1">
        <f ca="1"/>
        <v>8.9999999999999993E-3</v>
      </c>
      <c r="F15" s="1">
        <f t="shared" ca="1" si="1"/>
        <v>1.9916666666666659E-3</v>
      </c>
    </row>
    <row r="16" spans="1:6" x14ac:dyDescent="0.25">
      <c r="A16" t="str">
        <v>1981-03-31</v>
      </c>
      <c r="B16">
        <f ca="1"/>
        <v>6.1600000000000002E-2</v>
      </c>
      <c r="C16">
        <f ca="1"/>
        <v>0.13120000000000001</v>
      </c>
      <c r="D16">
        <f t="shared" ca="1" si="0"/>
        <v>1.0933333333333335E-2</v>
      </c>
      <c r="E16" s="1">
        <f ca="1"/>
        <v>7.0000000000000001E-3</v>
      </c>
      <c r="F16" s="1">
        <f t="shared" ca="1" si="1"/>
        <v>3.9333333333333347E-3</v>
      </c>
    </row>
    <row r="17" spans="1:6" x14ac:dyDescent="0.25">
      <c r="A17" t="str">
        <v>1981-04-30</v>
      </c>
      <c r="B17">
        <f ca="1"/>
        <v>5.6399999999999999E-2</v>
      </c>
      <c r="C17">
        <f ca="1"/>
        <v>0.1368</v>
      </c>
      <c r="D17">
        <f t="shared" ca="1" si="0"/>
        <v>1.14E-2</v>
      </c>
      <c r="E17" s="1">
        <f ca="1"/>
        <v>6.0000000000000001E-3</v>
      </c>
      <c r="F17" s="1">
        <f t="shared" ca="1" si="1"/>
        <v>5.4000000000000003E-3</v>
      </c>
    </row>
    <row r="18" spans="1:6" x14ac:dyDescent="0.25">
      <c r="A18" t="str">
        <v>1981-05-31</v>
      </c>
      <c r="B18">
        <f ca="1"/>
        <v>5.5800000000000002E-2</v>
      </c>
      <c r="C18">
        <f ca="1"/>
        <v>0.14099999999999999</v>
      </c>
      <c r="D18">
        <f t="shared" ca="1" si="0"/>
        <v>1.1749999999999998E-2</v>
      </c>
      <c r="E18" s="1">
        <f ca="1"/>
        <v>7.0000000000000001E-3</v>
      </c>
      <c r="F18" s="1">
        <f t="shared" ca="1" si="1"/>
        <v>4.7499999999999981E-3</v>
      </c>
    </row>
    <row r="19" spans="1:6" x14ac:dyDescent="0.25">
      <c r="A19" t="str">
        <v>1981-06-30</v>
      </c>
      <c r="B19">
        <f ca="1"/>
        <v>6.3E-2</v>
      </c>
      <c r="C19">
        <f ca="1"/>
        <v>0.13469999999999999</v>
      </c>
      <c r="D19">
        <f t="shared" ca="1" si="0"/>
        <v>1.1224999999999999E-2</v>
      </c>
      <c r="E19" s="1">
        <f ca="1"/>
        <v>8.9999999999999993E-3</v>
      </c>
      <c r="F19" s="1">
        <f t="shared" ca="1" si="1"/>
        <v>2.2249999999999995E-3</v>
      </c>
    </row>
    <row r="20" spans="1:6" x14ac:dyDescent="0.25">
      <c r="A20" t="str">
        <v>1981-07-31</v>
      </c>
      <c r="B20">
        <f ca="1"/>
        <v>6.0100000000000001E-2</v>
      </c>
      <c r="C20">
        <f ca="1"/>
        <v>0.14280000000000001</v>
      </c>
      <c r="D20">
        <f t="shared" ca="1" si="0"/>
        <v>1.1900000000000001E-2</v>
      </c>
      <c r="E20" s="1">
        <f ca="1"/>
        <v>1.0999999999999999E-2</v>
      </c>
      <c r="F20" s="1">
        <f t="shared" ca="1" si="1"/>
        <v>9.0000000000000149E-4</v>
      </c>
    </row>
    <row r="21" spans="1:6" x14ac:dyDescent="0.25">
      <c r="A21" t="str">
        <v>1981-08-31</v>
      </c>
      <c r="B21">
        <f ca="1"/>
        <v>5.4699999999999999E-2</v>
      </c>
      <c r="C21">
        <f ca="1"/>
        <v>0.14940000000000001</v>
      </c>
      <c r="D21">
        <f t="shared" ca="1" si="0"/>
        <v>1.2450000000000001E-2</v>
      </c>
      <c r="E21" s="1">
        <f ca="1"/>
        <v>8.0000000000000002E-3</v>
      </c>
      <c r="F21" s="1">
        <f t="shared" ca="1" si="1"/>
        <v>4.4500000000000008E-3</v>
      </c>
    </row>
    <row r="22" spans="1:6" x14ac:dyDescent="0.25">
      <c r="A22" t="str">
        <v>1981-09-30</v>
      </c>
      <c r="B22">
        <f ca="1"/>
        <v>6.4799999999999996E-2</v>
      </c>
      <c r="C22">
        <f ca="1"/>
        <v>0.1532</v>
      </c>
      <c r="D22">
        <f t="shared" ca="1" si="0"/>
        <v>1.2766666666666667E-2</v>
      </c>
      <c r="E22" s="1">
        <f ca="1"/>
        <v>0.01</v>
      </c>
      <c r="F22" s="1">
        <f t="shared" ca="1" si="1"/>
        <v>2.7666666666666673E-3</v>
      </c>
    </row>
    <row r="23" spans="1:6" x14ac:dyDescent="0.25">
      <c r="A23" t="str">
        <v>1981-10-31</v>
      </c>
      <c r="B23">
        <f ca="1"/>
        <v>6.5299999999999997E-2</v>
      </c>
      <c r="C23">
        <f ca="1"/>
        <v>0.1515</v>
      </c>
      <c r="D23">
        <f t="shared" ca="1" si="0"/>
        <v>1.2624999999999999E-2</v>
      </c>
      <c r="E23" s="1">
        <f ca="1"/>
        <v>3.0000000000000001E-3</v>
      </c>
      <c r="F23" s="1">
        <f t="shared" ca="1" si="1"/>
        <v>9.6249999999999981E-3</v>
      </c>
    </row>
    <row r="24" spans="1:6" x14ac:dyDescent="0.25">
      <c r="A24" t="str">
        <v>1981-11-30</v>
      </c>
      <c r="B24">
        <f ca="1"/>
        <v>8.0600000000000005E-2</v>
      </c>
      <c r="C24">
        <f ca="1"/>
        <v>0.13389999999999999</v>
      </c>
      <c r="D24">
        <f t="shared" ca="1" si="0"/>
        <v>1.1158333333333333E-2</v>
      </c>
      <c r="E24" s="1">
        <f ca="1"/>
        <v>4.0000000000000001E-3</v>
      </c>
      <c r="F24" s="1">
        <f t="shared" ca="1" si="1"/>
        <v>7.1583333333333325E-3</v>
      </c>
    </row>
    <row r="25" spans="1:6" x14ac:dyDescent="0.25">
      <c r="A25" t="str">
        <v>1981-12-31</v>
      </c>
      <c r="B25">
        <f ca="1"/>
        <v>7.6700000000000004E-2</v>
      </c>
      <c r="C25">
        <f ca="1"/>
        <v>0.13719999999999999</v>
      </c>
      <c r="D25">
        <f t="shared" ca="1" si="0"/>
        <v>1.1433333333333332E-2</v>
      </c>
      <c r="E25" s="1">
        <f ca="1"/>
        <v>3.0000000000000001E-3</v>
      </c>
      <c r="F25" s="1">
        <f t="shared" ca="1" si="1"/>
        <v>8.4333333333333309E-3</v>
      </c>
    </row>
    <row r="26" spans="1:6" x14ac:dyDescent="0.25">
      <c r="A26" t="str">
        <v>1982-01-31</v>
      </c>
      <c r="B26">
        <f ca="1"/>
        <v>7.5999999999999998E-2</v>
      </c>
      <c r="C26">
        <f ca="1"/>
        <v>0.1459</v>
      </c>
      <c r="D26">
        <f t="shared" ca="1" si="0"/>
        <v>1.2158333333333333E-2</v>
      </c>
      <c r="E26" s="1">
        <f ca="1"/>
        <v>3.0000000000000001E-3</v>
      </c>
      <c r="F26" s="1">
        <f t="shared" ca="1" si="1"/>
        <v>9.1583333333333343E-3</v>
      </c>
    </row>
    <row r="27" spans="1:6" x14ac:dyDescent="0.25">
      <c r="A27" t="str">
        <v>1982-02-28</v>
      </c>
      <c r="B27">
        <f ca="1"/>
        <v>8.14E-2</v>
      </c>
      <c r="C27">
        <f ca="1"/>
        <v>0.14430000000000001</v>
      </c>
      <c r="D27">
        <f t="shared" ca="1" si="0"/>
        <v>1.2025000000000001E-2</v>
      </c>
      <c r="E27" s="1">
        <f ca="1"/>
        <v>3.0000000000000001E-3</v>
      </c>
      <c r="F27" s="1">
        <f t="shared" ca="1" si="1"/>
        <v>9.0250000000000018E-3</v>
      </c>
    </row>
    <row r="28" spans="1:6" x14ac:dyDescent="0.25">
      <c r="A28" t="str">
        <v>1982-03-31</v>
      </c>
      <c r="B28">
        <f ca="1"/>
        <v>9.1300000000000006E-2</v>
      </c>
      <c r="C28">
        <f ca="1"/>
        <v>0.1386</v>
      </c>
      <c r="D28">
        <f t="shared" ca="1" si="0"/>
        <v>1.155E-2</v>
      </c>
      <c r="E28" s="1">
        <f ca="1"/>
        <v>0</v>
      </c>
      <c r="F28" s="1">
        <f t="shared" ca="1" si="1"/>
        <v>1.155E-2</v>
      </c>
    </row>
    <row r="29" spans="1:6" x14ac:dyDescent="0.25">
      <c r="A29" t="str">
        <v>1982-04-30</v>
      </c>
      <c r="B29">
        <f ca="1"/>
        <v>8.5300000000000001E-2</v>
      </c>
      <c r="C29">
        <f ca="1"/>
        <v>0.13869999999999999</v>
      </c>
      <c r="D29">
        <f t="shared" ca="1" si="0"/>
        <v>1.1558333333333332E-2</v>
      </c>
      <c r="E29" s="1">
        <f ca="1"/>
        <v>3.0000000000000001E-3</v>
      </c>
      <c r="F29" s="1">
        <f t="shared" ca="1" si="1"/>
        <v>8.558333333333331E-3</v>
      </c>
    </row>
    <row r="30" spans="1:6" x14ac:dyDescent="0.25">
      <c r="A30" t="str">
        <v>1982-05-31</v>
      </c>
      <c r="B30">
        <f ca="1"/>
        <v>8.9800000000000005E-2</v>
      </c>
      <c r="C30">
        <f ca="1"/>
        <v>0.13619999999999999</v>
      </c>
      <c r="D30">
        <f t="shared" ca="1" si="0"/>
        <v>1.1349999999999999E-2</v>
      </c>
      <c r="E30" s="1">
        <f ca="1"/>
        <v>8.9999999999999993E-3</v>
      </c>
      <c r="F30" s="1">
        <f t="shared" ca="1" si="1"/>
        <v>2.3499999999999997E-3</v>
      </c>
    </row>
    <row r="31" spans="1:6" x14ac:dyDescent="0.25">
      <c r="A31" t="str">
        <v>1982-06-30</v>
      </c>
      <c r="B31">
        <f ca="1"/>
        <v>9.4500000000000001E-2</v>
      </c>
      <c r="C31">
        <f ca="1"/>
        <v>0.14299999999999999</v>
      </c>
      <c r="D31">
        <f t="shared" ca="1" si="0"/>
        <v>1.1916666666666666E-2</v>
      </c>
      <c r="E31" s="1">
        <f ca="1"/>
        <v>1.0999999999999999E-2</v>
      </c>
      <c r="F31" s="1">
        <f t="shared" ca="1" si="1"/>
        <v>9.1666666666666632E-4</v>
      </c>
    </row>
    <row r="32" spans="1:6" x14ac:dyDescent="0.25">
      <c r="A32" t="str">
        <v>1982-07-31</v>
      </c>
      <c r="B32">
        <f ca="1"/>
        <v>9.9299999999999999E-2</v>
      </c>
      <c r="C32">
        <f ca="1"/>
        <v>0.13950000000000001</v>
      </c>
      <c r="D32">
        <f t="shared" ca="1" si="0"/>
        <v>1.1625000000000002E-2</v>
      </c>
      <c r="E32" s="1">
        <f ca="1"/>
        <v>5.0000000000000001E-3</v>
      </c>
      <c r="F32" s="1">
        <f t="shared" ca="1" si="1"/>
        <v>6.6250000000000015E-3</v>
      </c>
    </row>
    <row r="33" spans="1:6" x14ac:dyDescent="0.25">
      <c r="A33" t="str">
        <v>1982-08-31</v>
      </c>
      <c r="B33">
        <f ca="1"/>
        <v>0.108</v>
      </c>
      <c r="C33">
        <f ca="1"/>
        <v>0.13059999999999999</v>
      </c>
      <c r="D33">
        <f t="shared" ca="1" si="0"/>
        <v>1.0883333333333333E-2</v>
      </c>
      <c r="E33" s="1">
        <f ca="1"/>
        <v>2E-3</v>
      </c>
      <c r="F33" s="1">
        <f t="shared" ca="1" si="1"/>
        <v>8.8833333333333334E-3</v>
      </c>
    </row>
    <row r="34" spans="1:6" x14ac:dyDescent="0.25">
      <c r="A34" t="str">
        <v>1982-09-30</v>
      </c>
      <c r="B34">
        <f ca="1"/>
        <v>9.98E-2</v>
      </c>
      <c r="C34">
        <f ca="1"/>
        <v>0.1234</v>
      </c>
      <c r="D34">
        <f t="shared" ca="1" si="0"/>
        <v>1.0283333333333334E-2</v>
      </c>
      <c r="E34" s="1">
        <f ca="1"/>
        <v>0</v>
      </c>
      <c r="F34" s="1">
        <f t="shared" ca="1" si="1"/>
        <v>1.0283333333333334E-2</v>
      </c>
    </row>
    <row r="35" spans="1:6" x14ac:dyDescent="0.25">
      <c r="A35" t="str">
        <v>1982-10-31</v>
      </c>
      <c r="B35">
        <f ca="1"/>
        <v>0.1038</v>
      </c>
      <c r="C35">
        <f ca="1"/>
        <v>0.1091</v>
      </c>
      <c r="D35">
        <f t="shared" ca="1" si="0"/>
        <v>9.0916666666666663E-3</v>
      </c>
      <c r="E35" s="1">
        <f ca="1"/>
        <v>4.0000000000000001E-3</v>
      </c>
      <c r="F35" s="1">
        <f t="shared" ca="1" si="1"/>
        <v>5.0916666666666662E-3</v>
      </c>
    </row>
    <row r="36" spans="1:6" x14ac:dyDescent="0.25">
      <c r="A36" t="str">
        <v>1982-11-30</v>
      </c>
      <c r="B36">
        <f ca="1"/>
        <v>0.1017</v>
      </c>
      <c r="C36">
        <f ca="1"/>
        <v>0.1055</v>
      </c>
      <c r="D36">
        <f t="shared" ca="1" si="0"/>
        <v>8.7916666666666664E-3</v>
      </c>
      <c r="E36" s="1">
        <f ca="1"/>
        <v>-1E-3</v>
      </c>
      <c r="F36" s="1">
        <f t="shared" ca="1" si="1"/>
        <v>9.7916666666666673E-3</v>
      </c>
    </row>
    <row r="37" spans="1:6" x14ac:dyDescent="0.25">
      <c r="A37" t="str">
        <v>1982-12-31</v>
      </c>
      <c r="B37">
        <f ca="1"/>
        <v>9.9400000000000002E-2</v>
      </c>
      <c r="C37">
        <f ca="1"/>
        <v>0.10539999999999999</v>
      </c>
      <c r="D37">
        <f t="shared" ca="1" si="0"/>
        <v>8.7833333333333322E-3</v>
      </c>
      <c r="E37" s="1">
        <f ca="1"/>
        <v>-3.0000000000000001E-3</v>
      </c>
      <c r="F37" s="1">
        <f t="shared" ca="1" si="1"/>
        <v>1.1783333333333333E-2</v>
      </c>
    </row>
    <row r="38" spans="1:6" x14ac:dyDescent="0.25">
      <c r="A38" t="str">
        <v>1983-01-31</v>
      </c>
      <c r="B38">
        <f ca="1"/>
        <v>9.6299999999999997E-2</v>
      </c>
      <c r="C38">
        <f ca="1"/>
        <v>0.1046</v>
      </c>
      <c r="D38">
        <f t="shared" ca="1" si="0"/>
        <v>8.716666666666666E-3</v>
      </c>
      <c r="E38" s="1">
        <f ca="1"/>
        <v>2E-3</v>
      </c>
      <c r="F38" s="1">
        <f t="shared" ca="1" si="1"/>
        <v>6.7166666666666659E-3</v>
      </c>
    </row>
    <row r="39" spans="1:6" x14ac:dyDescent="0.25">
      <c r="A39" t="str">
        <v>1983-02-28</v>
      </c>
      <c r="B39">
        <f ca="1"/>
        <v>9.0999999999999998E-2</v>
      </c>
      <c r="C39">
        <f ca="1"/>
        <v>0.1072</v>
      </c>
      <c r="D39">
        <f t="shared" ca="1" si="0"/>
        <v>8.9333333333333331E-3</v>
      </c>
      <c r="E39" s="1">
        <f ca="1"/>
        <v>1E-3</v>
      </c>
      <c r="F39" s="1">
        <f t="shared" ca="1" si="1"/>
        <v>7.9333333333333339E-3</v>
      </c>
    </row>
    <row r="40" spans="1:6" x14ac:dyDescent="0.25">
      <c r="A40" t="str">
        <v>1983-03-31</v>
      </c>
      <c r="B40">
        <f ca="1"/>
        <v>8.8200000000000001E-2</v>
      </c>
      <c r="C40">
        <f ca="1"/>
        <v>0.1051</v>
      </c>
      <c r="D40">
        <f t="shared" ca="1" si="0"/>
        <v>8.7583333333333332E-3</v>
      </c>
      <c r="E40" s="1">
        <f ca="1"/>
        <v>1E-3</v>
      </c>
      <c r="F40" s="1">
        <f t="shared" ca="1" si="1"/>
        <v>7.7583333333333332E-3</v>
      </c>
    </row>
    <row r="41" spans="1:6" x14ac:dyDescent="0.25">
      <c r="A41" t="str">
        <v>1983-04-30</v>
      </c>
      <c r="B41">
        <f ca="1"/>
        <v>8.5900000000000004E-2</v>
      </c>
      <c r="C41">
        <f ca="1"/>
        <v>0.104</v>
      </c>
      <c r="D41">
        <f t="shared" ca="1" si="0"/>
        <v>8.6666666666666663E-3</v>
      </c>
      <c r="E41" s="1">
        <f ca="1"/>
        <v>7.0000000000000001E-3</v>
      </c>
      <c r="F41" s="1">
        <f t="shared" ca="1" si="1"/>
        <v>1.6666666666666661E-3</v>
      </c>
    </row>
    <row r="42" spans="1:6" x14ac:dyDescent="0.25">
      <c r="A42" t="str">
        <v>1983-05-31</v>
      </c>
      <c r="B42">
        <f ca="1"/>
        <v>8.2400000000000001E-2</v>
      </c>
      <c r="C42">
        <f ca="1"/>
        <v>0.1038</v>
      </c>
      <c r="D42">
        <f t="shared" ca="1" si="0"/>
        <v>8.6499999999999997E-3</v>
      </c>
      <c r="E42" s="1">
        <f ca="1"/>
        <v>4.0000000000000001E-3</v>
      </c>
      <c r="F42" s="1">
        <f t="shared" ca="1" si="1"/>
        <v>4.6499999999999996E-3</v>
      </c>
    </row>
    <row r="43" spans="1:6" x14ac:dyDescent="0.25">
      <c r="A43" t="str">
        <v>1983-06-30</v>
      </c>
      <c r="B43">
        <f ca="1"/>
        <v>7.5999999999999998E-2</v>
      </c>
      <c r="C43">
        <f ca="1"/>
        <v>0.1085</v>
      </c>
      <c r="D43">
        <f t="shared" ca="1" si="0"/>
        <v>9.0416666666666666E-3</v>
      </c>
      <c r="E43" s="1">
        <f ca="1"/>
        <v>2E-3</v>
      </c>
      <c r="F43" s="1">
        <f t="shared" ca="1" si="1"/>
        <v>7.0416666666666666E-3</v>
      </c>
    </row>
    <row r="44" spans="1:6" x14ac:dyDescent="0.25">
      <c r="A44" t="str">
        <v>1983-07-31</v>
      </c>
      <c r="B44">
        <f ca="1"/>
        <v>7.0800000000000002E-2</v>
      </c>
      <c r="C44">
        <f ca="1"/>
        <v>0.1138</v>
      </c>
      <c r="D44">
        <f t="shared" ca="1" si="0"/>
        <v>9.4833333333333332E-3</v>
      </c>
      <c r="E44" s="1">
        <f ca="1"/>
        <v>4.0000000000000001E-3</v>
      </c>
      <c r="F44" s="1">
        <f t="shared" ca="1" si="1"/>
        <v>5.4833333333333331E-3</v>
      </c>
    </row>
    <row r="45" spans="1:6" x14ac:dyDescent="0.25">
      <c r="A45" t="str">
        <v>1983-08-31</v>
      </c>
      <c r="B45">
        <f ca="1"/>
        <v>6.7400000000000002E-2</v>
      </c>
      <c r="C45">
        <f ca="1"/>
        <v>0.11849999999999999</v>
      </c>
      <c r="D45">
        <f t="shared" ca="1" si="0"/>
        <v>9.8750000000000001E-3</v>
      </c>
      <c r="E45" s="1">
        <f ca="1"/>
        <v>3.0000000000000001E-3</v>
      </c>
      <c r="F45" s="1">
        <f t="shared" ca="1" si="1"/>
        <v>6.875E-3</v>
      </c>
    </row>
    <row r="46" spans="1:6" x14ac:dyDescent="0.25">
      <c r="A46" t="str">
        <v>1983-09-30</v>
      </c>
      <c r="B46">
        <f ca="1"/>
        <v>6.7100000000000007E-2</v>
      </c>
      <c r="C46">
        <f ca="1"/>
        <v>0.11650000000000001</v>
      </c>
      <c r="D46">
        <f t="shared" ca="1" si="0"/>
        <v>9.7083333333333344E-3</v>
      </c>
      <c r="E46" s="1">
        <f ca="1"/>
        <v>3.0000000000000001E-3</v>
      </c>
      <c r="F46" s="1">
        <f t="shared" ca="1" si="1"/>
        <v>6.7083333333333344E-3</v>
      </c>
    </row>
    <row r="47" spans="1:6" x14ac:dyDescent="0.25">
      <c r="A47" t="str">
        <v>1983-10-31</v>
      </c>
      <c r="B47">
        <f ca="1"/>
        <v>6.7299999999999999E-2</v>
      </c>
      <c r="C47">
        <f ca="1"/>
        <v>0.1154</v>
      </c>
      <c r="D47">
        <f t="shared" ca="1" si="0"/>
        <v>9.6166666666666675E-3</v>
      </c>
      <c r="E47" s="1">
        <f ca="1"/>
        <v>4.0000000000000001E-3</v>
      </c>
      <c r="F47" s="1">
        <f t="shared" ca="1" si="1"/>
        <v>5.6166666666666674E-3</v>
      </c>
    </row>
    <row r="48" spans="1:6" x14ac:dyDescent="0.25">
      <c r="A48" t="str">
        <v>1983-11-30</v>
      </c>
      <c r="B48">
        <f ca="1"/>
        <v>6.6900000000000001E-2</v>
      </c>
      <c r="C48">
        <f ca="1"/>
        <v>0.1169</v>
      </c>
      <c r="D48">
        <f t="shared" ca="1" si="0"/>
        <v>9.7416666666666676E-3</v>
      </c>
      <c r="E48" s="1">
        <f ca="1"/>
        <v>3.0000000000000001E-3</v>
      </c>
      <c r="F48" s="1">
        <f t="shared" ca="1" si="1"/>
        <v>6.7416666666666675E-3</v>
      </c>
    </row>
    <row r="49" spans="1:6" x14ac:dyDescent="0.25">
      <c r="A49" t="str">
        <v>1983-12-31</v>
      </c>
      <c r="B49">
        <f ca="1"/>
        <v>6.5299999999999997E-2</v>
      </c>
      <c r="C49">
        <f ca="1"/>
        <v>0.1183</v>
      </c>
      <c r="D49">
        <f t="shared" ca="1" si="0"/>
        <v>9.8583333333333335E-3</v>
      </c>
      <c r="E49" s="1">
        <f ca="1"/>
        <v>3.0000000000000001E-3</v>
      </c>
      <c r="F49" s="1">
        <f t="shared" ca="1" si="1"/>
        <v>6.8583333333333335E-3</v>
      </c>
    </row>
    <row r="50" spans="1:6" x14ac:dyDescent="0.25">
      <c r="A50" t="str">
        <v>1984-01-31</v>
      </c>
      <c r="B50">
        <f ca="1"/>
        <v>6.5699999999999995E-2</v>
      </c>
      <c r="C50">
        <f ca="1"/>
        <v>0.1167</v>
      </c>
      <c r="D50">
        <f t="shared" ca="1" si="0"/>
        <v>9.7249999999999993E-3</v>
      </c>
      <c r="E50" s="1">
        <f ca="1"/>
        <v>7.0000000000000001E-3</v>
      </c>
      <c r="F50" s="1">
        <f t="shared" ca="1" si="1"/>
        <v>2.7249999999999991E-3</v>
      </c>
    </row>
    <row r="51" spans="1:6" x14ac:dyDescent="0.25">
      <c r="A51" t="str">
        <v>1984-02-29</v>
      </c>
      <c r="B51">
        <f ca="1"/>
        <v>6.9400000000000003E-2</v>
      </c>
      <c r="C51">
        <f ca="1"/>
        <v>0.11840000000000001</v>
      </c>
      <c r="D51">
        <f t="shared" ca="1" si="0"/>
        <v>9.8666666666666677E-3</v>
      </c>
      <c r="E51" s="1">
        <f ca="1"/>
        <v>5.0000000000000001E-3</v>
      </c>
      <c r="F51" s="1">
        <f t="shared" ca="1" si="1"/>
        <v>4.8666666666666676E-3</v>
      </c>
    </row>
    <row r="52" spans="1:6" x14ac:dyDescent="0.25">
      <c r="A52" t="str">
        <v>1984-03-31</v>
      </c>
      <c r="B52">
        <f ca="1"/>
        <v>6.3399999999999998E-2</v>
      </c>
      <c r="C52">
        <f ca="1"/>
        <v>0.1232</v>
      </c>
      <c r="D52">
        <f t="shared" ca="1" si="0"/>
        <v>1.0266666666666667E-2</v>
      </c>
      <c r="E52" s="1">
        <f ca="1"/>
        <v>3.0000000000000001E-3</v>
      </c>
      <c r="F52" s="1">
        <f t="shared" ca="1" si="1"/>
        <v>7.2666666666666669E-3</v>
      </c>
    </row>
    <row r="53" spans="1:6" x14ac:dyDescent="0.25">
      <c r="A53" t="str">
        <v>1984-04-30</v>
      </c>
      <c r="B53">
        <f ca="1"/>
        <v>6.0600000000000001E-2</v>
      </c>
      <c r="C53">
        <f ca="1"/>
        <v>0.1263</v>
      </c>
      <c r="D53">
        <f t="shared" ca="1" si="0"/>
        <v>1.0525E-2</v>
      </c>
      <c r="E53" s="1">
        <f ca="1"/>
        <v>4.0000000000000001E-3</v>
      </c>
      <c r="F53" s="1">
        <f t="shared" ca="1" si="1"/>
        <v>6.5249999999999996E-3</v>
      </c>
    </row>
    <row r="54" spans="1:6" x14ac:dyDescent="0.25">
      <c r="A54" t="str">
        <v>1984-05-31</v>
      </c>
      <c r="B54">
        <f ca="1"/>
        <v>5.2600000000000001E-2</v>
      </c>
      <c r="C54">
        <f ca="1"/>
        <v>0.1341</v>
      </c>
      <c r="D54">
        <f t="shared" ca="1" si="0"/>
        <v>1.1174999999999999E-2</v>
      </c>
      <c r="E54" s="1">
        <f ca="1"/>
        <v>2E-3</v>
      </c>
      <c r="F54" s="1">
        <f t="shared" ca="1" si="1"/>
        <v>9.1749999999999991E-3</v>
      </c>
    </row>
    <row r="55" spans="1:6" x14ac:dyDescent="0.25">
      <c r="A55" t="str">
        <v>1984-06-30</v>
      </c>
      <c r="B55">
        <f ca="1"/>
        <v>5.3199999999999997E-2</v>
      </c>
      <c r="C55">
        <f ca="1"/>
        <v>0.1356</v>
      </c>
      <c r="D55">
        <f t="shared" ca="1" si="0"/>
        <v>1.1299999999999999E-2</v>
      </c>
      <c r="E55" s="1">
        <f ca="1"/>
        <v>2E-3</v>
      </c>
      <c r="F55" s="1">
        <f t="shared" ca="1" si="1"/>
        <v>9.2999999999999992E-3</v>
      </c>
    </row>
    <row r="56" spans="1:6" x14ac:dyDescent="0.25">
      <c r="A56" t="str">
        <v>1984-07-31</v>
      </c>
      <c r="B56">
        <f ca="1"/>
        <v>5.6500000000000002E-2</v>
      </c>
      <c r="C56">
        <f ca="1"/>
        <v>0.1336</v>
      </c>
      <c r="D56">
        <f t="shared" ca="1" si="0"/>
        <v>1.1133333333333334E-2</v>
      </c>
      <c r="E56" s="1">
        <f ca="1"/>
        <v>4.0000000000000001E-3</v>
      </c>
      <c r="F56" s="1">
        <f t="shared" ca="1" si="1"/>
        <v>7.1333333333333335E-3</v>
      </c>
    </row>
    <row r="57" spans="1:6" x14ac:dyDescent="0.25">
      <c r="A57" t="str">
        <v>1984-08-31</v>
      </c>
      <c r="B57">
        <f ca="1"/>
        <v>5.3199999999999997E-2</v>
      </c>
      <c r="C57">
        <f ca="1"/>
        <v>0.12720000000000001</v>
      </c>
      <c r="D57">
        <f t="shared" ca="1" si="0"/>
        <v>1.06E-2</v>
      </c>
      <c r="E57" s="1">
        <f ca="1"/>
        <v>3.0000000000000001E-3</v>
      </c>
      <c r="F57" s="1">
        <f t="shared" ca="1" si="1"/>
        <v>7.6E-3</v>
      </c>
    </row>
    <row r="58" spans="1:6" x14ac:dyDescent="0.25">
      <c r="A58" t="str">
        <v>1984-09-30</v>
      </c>
      <c r="B58">
        <f ca="1"/>
        <v>5.3800000000000001E-2</v>
      </c>
      <c r="C58">
        <f ca="1"/>
        <v>0.12520000000000001</v>
      </c>
      <c r="D58">
        <f t="shared" ca="1" si="0"/>
        <v>1.0433333333333334E-2</v>
      </c>
      <c r="E58" s="1">
        <f ca="1"/>
        <v>3.0000000000000001E-3</v>
      </c>
      <c r="F58" s="1">
        <f t="shared" ca="1" si="1"/>
        <v>7.4333333333333343E-3</v>
      </c>
    </row>
    <row r="59" spans="1:6" x14ac:dyDescent="0.25">
      <c r="A59" t="str">
        <v>1984-10-31</v>
      </c>
      <c r="B59">
        <f ca="1"/>
        <v>5.7599999999999998E-2</v>
      </c>
      <c r="C59">
        <f ca="1"/>
        <v>0.1216</v>
      </c>
      <c r="D59">
        <f t="shared" ca="1" si="0"/>
        <v>1.0133333333333333E-2</v>
      </c>
      <c r="E59" s="1">
        <f ca="1"/>
        <v>4.0000000000000001E-3</v>
      </c>
      <c r="F59" s="1">
        <f t="shared" ca="1" si="1"/>
        <v>6.1333333333333327E-3</v>
      </c>
    </row>
    <row r="60" spans="1:6" x14ac:dyDescent="0.25">
      <c r="A60" t="str">
        <v>1984-11-30</v>
      </c>
      <c r="B60">
        <f ca="1"/>
        <v>6.1600000000000002E-2</v>
      </c>
      <c r="C60">
        <f ca="1"/>
        <v>0.1157</v>
      </c>
      <c r="D60">
        <f t="shared" ca="1" si="0"/>
        <v>9.6416666666666664E-3</v>
      </c>
      <c r="E60" s="1">
        <f ca="1"/>
        <v>2E-3</v>
      </c>
      <c r="F60" s="1">
        <f t="shared" ca="1" si="1"/>
        <v>7.6416666666666664E-3</v>
      </c>
    </row>
    <row r="61" spans="1:6" x14ac:dyDescent="0.25">
      <c r="A61" t="str">
        <v>1984-12-31</v>
      </c>
      <c r="B61">
        <f ca="1"/>
        <v>6.25E-2</v>
      </c>
      <c r="C61">
        <f ca="1"/>
        <v>0.115</v>
      </c>
      <c r="D61">
        <f t="shared" ca="1" si="0"/>
        <v>9.5833333333333343E-3</v>
      </c>
      <c r="E61" s="1">
        <f ca="1"/>
        <v>2E-3</v>
      </c>
      <c r="F61" s="1">
        <f t="shared" ca="1" si="1"/>
        <v>7.5833333333333343E-3</v>
      </c>
    </row>
    <row r="62" spans="1:6" x14ac:dyDescent="0.25">
      <c r="A62" t="str">
        <v>1985-01-31</v>
      </c>
      <c r="B62">
        <f ca="1"/>
        <v>5.9299999999999999E-2</v>
      </c>
      <c r="C62">
        <f ca="1"/>
        <v>0.1138</v>
      </c>
      <c r="D62">
        <f t="shared" ca="1" si="0"/>
        <v>9.4833333333333332E-3</v>
      </c>
      <c r="E62" s="1">
        <f ca="1"/>
        <v>2E-3</v>
      </c>
      <c r="F62" s="1">
        <f t="shared" ca="1" si="1"/>
        <v>7.4833333333333332E-3</v>
      </c>
    </row>
    <row r="63" spans="1:6" x14ac:dyDescent="0.25">
      <c r="A63" t="str">
        <v>1985-02-28</v>
      </c>
      <c r="B63">
        <f ca="1"/>
        <v>5.2999999999999999E-2</v>
      </c>
      <c r="C63">
        <f ca="1"/>
        <v>0.11509999999999999</v>
      </c>
      <c r="D63">
        <f t="shared" ca="1" si="0"/>
        <v>9.5916666666666667E-3</v>
      </c>
      <c r="E63" s="1">
        <f ca="1"/>
        <v>6.0000000000000001E-3</v>
      </c>
      <c r="F63" s="1">
        <f t="shared" ca="1" si="1"/>
        <v>3.5916666666666666E-3</v>
      </c>
    </row>
    <row r="64" spans="1:6" x14ac:dyDescent="0.25">
      <c r="A64" t="str">
        <v>1985-03-31</v>
      </c>
      <c r="B64">
        <f ca="1"/>
        <v>5.0599999999999999E-2</v>
      </c>
      <c r="C64">
        <f ca="1"/>
        <v>0.1186</v>
      </c>
      <c r="D64">
        <f t="shared" ca="1" si="0"/>
        <v>9.8833333333333325E-3</v>
      </c>
      <c r="E64" s="1">
        <f ca="1"/>
        <v>5.0000000000000001E-3</v>
      </c>
      <c r="F64" s="1">
        <f t="shared" ca="1" si="1"/>
        <v>4.8833333333333324E-3</v>
      </c>
    </row>
    <row r="65" spans="1:6" x14ac:dyDescent="0.25">
      <c r="A65" t="str">
        <v>1985-04-30</v>
      </c>
      <c r="B65">
        <f ca="1"/>
        <v>5.4800000000000001E-2</v>
      </c>
      <c r="C65">
        <f ca="1"/>
        <v>0.1143</v>
      </c>
      <c r="D65">
        <f t="shared" ca="1" si="0"/>
        <v>9.5250000000000005E-3</v>
      </c>
      <c r="E65" s="1">
        <f ca="1"/>
        <v>2E-3</v>
      </c>
      <c r="F65" s="1">
        <f t="shared" ca="1" si="1"/>
        <v>7.5250000000000004E-3</v>
      </c>
    </row>
    <row r="66" spans="1:6" x14ac:dyDescent="0.25">
      <c r="A66" t="str">
        <v>1985-05-31</v>
      </c>
      <c r="B66">
        <f ca="1"/>
        <v>5.8400000000000001E-2</v>
      </c>
      <c r="C66">
        <f ca="1"/>
        <v>0.1085</v>
      </c>
      <c r="D66">
        <f t="shared" ca="1" si="0"/>
        <v>9.0416666666666666E-3</v>
      </c>
      <c r="E66" s="1">
        <f ca="1"/>
        <v>2E-3</v>
      </c>
      <c r="F66" s="1">
        <f t="shared" ca="1" si="1"/>
        <v>7.0416666666666666E-3</v>
      </c>
    </row>
    <row r="67" spans="1:6" x14ac:dyDescent="0.25">
      <c r="A67" t="str">
        <v>1985-06-30</v>
      </c>
      <c r="B67">
        <f ca="1"/>
        <v>6.3100000000000003E-2</v>
      </c>
      <c r="C67">
        <f ca="1"/>
        <v>0.1016</v>
      </c>
      <c r="D67">
        <f t="shared" ref="D67:D130" ca="1" si="2">C67/12</f>
        <v>8.4666666666666657E-3</v>
      </c>
      <c r="E67" s="1">
        <f ca="1"/>
        <v>3.0000000000000001E-3</v>
      </c>
      <c r="F67" s="1">
        <f t="shared" ref="F67:F130" ca="1" si="3">D67-E67</f>
        <v>5.4666666666666657E-3</v>
      </c>
    </row>
    <row r="68" spans="1:6" x14ac:dyDescent="0.25">
      <c r="A68" t="str">
        <v>1985-07-31</v>
      </c>
      <c r="B68">
        <f ca="1"/>
        <v>5.8999999999999997E-2</v>
      </c>
      <c r="C68">
        <f ca="1"/>
        <v>0.1031</v>
      </c>
      <c r="D68">
        <f t="shared" ca="1" si="2"/>
        <v>8.5916666666666659E-3</v>
      </c>
      <c r="E68" s="1">
        <f ca="1"/>
        <v>2E-3</v>
      </c>
      <c r="F68" s="1">
        <f t="shared" ca="1" si="3"/>
        <v>6.5916666666666658E-3</v>
      </c>
    </row>
    <row r="69" spans="1:6" x14ac:dyDescent="0.25">
      <c r="A69" t="str">
        <v>1985-08-31</v>
      </c>
      <c r="B69">
        <f ca="1"/>
        <v>6.0999999999999999E-2</v>
      </c>
      <c r="C69">
        <f ca="1"/>
        <v>0.1033</v>
      </c>
      <c r="D69">
        <f t="shared" ca="1" si="2"/>
        <v>8.6083333333333342E-3</v>
      </c>
      <c r="E69" s="1">
        <f ca="1"/>
        <v>2E-3</v>
      </c>
      <c r="F69" s="1">
        <f t="shared" ca="1" si="3"/>
        <v>6.6083333333333341E-3</v>
      </c>
    </row>
    <row r="70" spans="1:6" x14ac:dyDescent="0.25">
      <c r="A70" t="str">
        <v>1985-09-30</v>
      </c>
      <c r="B70">
        <f ca="1"/>
        <v>6.2700000000000006E-2</v>
      </c>
      <c r="C70">
        <f ca="1"/>
        <v>0.1037</v>
      </c>
      <c r="D70">
        <f t="shared" ca="1" si="2"/>
        <v>8.6416666666666673E-3</v>
      </c>
      <c r="E70" s="1">
        <f ca="1"/>
        <v>2E-3</v>
      </c>
      <c r="F70" s="1">
        <f t="shared" ca="1" si="3"/>
        <v>6.6416666666666672E-3</v>
      </c>
    </row>
    <row r="71" spans="1:6" x14ac:dyDescent="0.25">
      <c r="A71" t="str">
        <v>1985-10-31</v>
      </c>
      <c r="B71">
        <f ca="1"/>
        <v>6.3100000000000003E-2</v>
      </c>
      <c r="C71">
        <f ca="1"/>
        <v>0.1024</v>
      </c>
      <c r="D71">
        <f t="shared" ca="1" si="2"/>
        <v>8.5333333333333337E-3</v>
      </c>
      <c r="E71" s="1">
        <f ca="1"/>
        <v>4.0000000000000001E-3</v>
      </c>
      <c r="F71" s="1">
        <f t="shared" ca="1" si="3"/>
        <v>4.5333333333333337E-3</v>
      </c>
    </row>
    <row r="72" spans="1:6" x14ac:dyDescent="0.25">
      <c r="A72" t="str">
        <v>1985-11-30</v>
      </c>
      <c r="B72">
        <f ca="1"/>
        <v>6.2E-2</v>
      </c>
      <c r="C72">
        <f ca="1"/>
        <v>9.7799999999999998E-2</v>
      </c>
      <c r="D72">
        <f t="shared" ca="1" si="2"/>
        <v>8.1499999999999993E-3</v>
      </c>
      <c r="E72" s="1">
        <f ca="1"/>
        <v>5.0000000000000001E-3</v>
      </c>
      <c r="F72" s="1">
        <f t="shared" ca="1" si="3"/>
        <v>3.1499999999999992E-3</v>
      </c>
    </row>
    <row r="73" spans="1:6" x14ac:dyDescent="0.25">
      <c r="A73" t="str">
        <v>1985-12-31</v>
      </c>
      <c r="B73">
        <f ca="1"/>
        <v>6.3100000000000003E-2</v>
      </c>
      <c r="C73">
        <f ca="1"/>
        <v>9.2600000000000002E-2</v>
      </c>
      <c r="D73">
        <f t="shared" ca="1" si="2"/>
        <v>7.7166666666666668E-3</v>
      </c>
      <c r="E73" s="1">
        <f ca="1"/>
        <v>5.0000000000000001E-3</v>
      </c>
      <c r="F73" s="1">
        <f t="shared" ca="1" si="3"/>
        <v>2.7166666666666667E-3</v>
      </c>
    </row>
    <row r="74" spans="1:6" x14ac:dyDescent="0.25">
      <c r="A74" t="str">
        <v>1986-01-31</v>
      </c>
      <c r="B74">
        <f ca="1"/>
        <v>6.3700000000000007E-2</v>
      </c>
      <c r="C74">
        <f ca="1"/>
        <v>9.1899999999999996E-2</v>
      </c>
      <c r="D74">
        <f t="shared" ca="1" si="2"/>
        <v>7.658333333333333E-3</v>
      </c>
      <c r="E74" s="1">
        <f ca="1"/>
        <v>4.0000000000000001E-3</v>
      </c>
      <c r="F74" s="1">
        <f t="shared" ca="1" si="3"/>
        <v>3.6583333333333329E-3</v>
      </c>
    </row>
    <row r="75" spans="1:6" x14ac:dyDescent="0.25">
      <c r="A75" t="str">
        <v>1986-02-28</v>
      </c>
      <c r="B75">
        <f ca="1"/>
        <v>6.3299999999999995E-2</v>
      </c>
      <c r="C75">
        <f ca="1"/>
        <v>8.6999999999999994E-2</v>
      </c>
      <c r="D75">
        <f t="shared" ca="1" si="2"/>
        <v>7.2499999999999995E-3</v>
      </c>
      <c r="E75" s="1">
        <f ca="1"/>
        <v>-2E-3</v>
      </c>
      <c r="F75" s="1">
        <f t="shared" ca="1" si="3"/>
        <v>9.2499999999999995E-3</v>
      </c>
    </row>
    <row r="76" spans="1:6" x14ac:dyDescent="0.25">
      <c r="A76" t="str">
        <v>1986-03-31</v>
      </c>
      <c r="B76">
        <f ca="1"/>
        <v>6.6900000000000001E-2</v>
      </c>
      <c r="C76">
        <f ca="1"/>
        <v>7.7799999999999994E-2</v>
      </c>
      <c r="D76">
        <f t="shared" ca="1" si="2"/>
        <v>6.4833333333333331E-3</v>
      </c>
      <c r="E76" s="1">
        <f ca="1"/>
        <v>-5.0000000000000001E-3</v>
      </c>
      <c r="F76" s="1">
        <f t="shared" ca="1" si="3"/>
        <v>1.1483333333333333E-2</v>
      </c>
    </row>
    <row r="77" spans="1:6" x14ac:dyDescent="0.25">
      <c r="A77" t="str">
        <v>1986-04-30</v>
      </c>
      <c r="B77">
        <f ca="1"/>
        <v>6.9099999999999995E-2</v>
      </c>
      <c r="C77">
        <f ca="1"/>
        <v>7.2999999999999995E-2</v>
      </c>
      <c r="D77">
        <f t="shared" ca="1" si="2"/>
        <v>6.083333333333333E-3</v>
      </c>
      <c r="E77" s="1">
        <f ca="1"/>
        <v>-4.0000000000000001E-3</v>
      </c>
      <c r="F77" s="1">
        <f t="shared" ca="1" si="3"/>
        <v>1.0083333333333333E-2</v>
      </c>
    </row>
    <row r="78" spans="1:6" x14ac:dyDescent="0.25">
      <c r="A78" t="str">
        <v>1986-05-31</v>
      </c>
      <c r="B78">
        <f ca="1"/>
        <v>6.4500000000000002E-2</v>
      </c>
      <c r="C78">
        <f ca="1"/>
        <v>7.7100000000000002E-2</v>
      </c>
      <c r="D78">
        <f t="shared" ca="1" si="2"/>
        <v>6.4250000000000002E-3</v>
      </c>
      <c r="E78" s="1">
        <f ca="1"/>
        <v>3.0000000000000001E-3</v>
      </c>
      <c r="F78" s="1">
        <f t="shared" ca="1" si="3"/>
        <v>3.4250000000000001E-3</v>
      </c>
    </row>
    <row r="79" spans="1:6" x14ac:dyDescent="0.25">
      <c r="A79" t="str">
        <v>1986-06-30</v>
      </c>
      <c r="B79">
        <f ca="1"/>
        <v>6.1800000000000001E-2</v>
      </c>
      <c r="C79">
        <f ca="1"/>
        <v>7.8E-2</v>
      </c>
      <c r="D79">
        <f t="shared" ca="1" si="2"/>
        <v>6.4999999999999997E-3</v>
      </c>
      <c r="E79" s="1">
        <f ca="1"/>
        <v>4.0000000000000001E-3</v>
      </c>
      <c r="F79" s="1">
        <f t="shared" ca="1" si="3"/>
        <v>2.4999999999999996E-3</v>
      </c>
    </row>
    <row r="80" spans="1:6" x14ac:dyDescent="0.25">
      <c r="A80" t="str">
        <v>1986-07-31</v>
      </c>
      <c r="B80">
        <f ca="1"/>
        <v>6.7699999999999996E-2</v>
      </c>
      <c r="C80">
        <f ca="1"/>
        <v>7.2999999999999995E-2</v>
      </c>
      <c r="D80">
        <f t="shared" ca="1" si="2"/>
        <v>6.083333333333333E-3</v>
      </c>
      <c r="E80" s="1">
        <f ca="1"/>
        <v>1E-3</v>
      </c>
      <c r="F80" s="1">
        <f t="shared" ca="1" si="3"/>
        <v>5.0833333333333329E-3</v>
      </c>
    </row>
    <row r="81" spans="1:6" x14ac:dyDescent="0.25">
      <c r="A81" t="str">
        <v>1986-08-31</v>
      </c>
      <c r="B81">
        <f ca="1"/>
        <v>6.7199999999999996E-2</v>
      </c>
      <c r="C81">
        <f ca="1"/>
        <v>7.17E-2</v>
      </c>
      <c r="D81">
        <f t="shared" ca="1" si="2"/>
        <v>5.9750000000000003E-3</v>
      </c>
      <c r="E81" s="1">
        <f ca="1"/>
        <v>1E-3</v>
      </c>
      <c r="F81" s="1">
        <f t="shared" ca="1" si="3"/>
        <v>4.9750000000000003E-3</v>
      </c>
    </row>
    <row r="82" spans="1:6" x14ac:dyDescent="0.25">
      <c r="A82" t="str">
        <v>1986-09-30</v>
      </c>
      <c r="B82">
        <f ca="1"/>
        <v>6.6799999999999998E-2</v>
      </c>
      <c r="C82">
        <f ca="1"/>
        <v>7.4499999999999997E-2</v>
      </c>
      <c r="D82">
        <f t="shared" ca="1" si="2"/>
        <v>6.2083333333333331E-3</v>
      </c>
      <c r="E82" s="1">
        <f ca="1"/>
        <v>4.0000000000000001E-3</v>
      </c>
      <c r="F82" s="1">
        <f t="shared" ca="1" si="3"/>
        <v>2.208333333333333E-3</v>
      </c>
    </row>
    <row r="83" spans="1:6" x14ac:dyDescent="0.25">
      <c r="A83" t="str">
        <v>1986-10-31</v>
      </c>
      <c r="B83">
        <f ca="1"/>
        <v>6.6799999999999998E-2</v>
      </c>
      <c r="C83">
        <f ca="1"/>
        <v>7.4300000000000005E-2</v>
      </c>
      <c r="D83">
        <f t="shared" ca="1" si="2"/>
        <v>6.1916666666666674E-3</v>
      </c>
      <c r="E83" s="1">
        <f ca="1"/>
        <v>2E-3</v>
      </c>
      <c r="F83" s="1">
        <f t="shared" ca="1" si="3"/>
        <v>4.1916666666666673E-3</v>
      </c>
    </row>
    <row r="84" spans="1:6" x14ac:dyDescent="0.25">
      <c r="A84" t="str">
        <v>1986-11-30</v>
      </c>
      <c r="B84">
        <f ca="1"/>
        <v>6.6100000000000006E-2</v>
      </c>
      <c r="C84">
        <f ca="1"/>
        <v>7.2499999999999995E-2</v>
      </c>
      <c r="D84">
        <f t="shared" ca="1" si="2"/>
        <v>6.0416666666666665E-3</v>
      </c>
      <c r="E84" s="1">
        <f ca="1"/>
        <v>2E-3</v>
      </c>
      <c r="F84" s="1">
        <f t="shared" ca="1" si="3"/>
        <v>4.0416666666666665E-3</v>
      </c>
    </row>
    <row r="85" spans="1:6" x14ac:dyDescent="0.25">
      <c r="A85" t="str">
        <v>1986-12-31</v>
      </c>
      <c r="B85">
        <f ca="1"/>
        <v>6.6100000000000006E-2</v>
      </c>
      <c r="C85">
        <f ca="1"/>
        <v>7.1099999999999997E-2</v>
      </c>
      <c r="D85">
        <f t="shared" ca="1" si="2"/>
        <v>5.9249999999999997E-3</v>
      </c>
      <c r="E85" s="1">
        <f ca="1"/>
        <v>4.0000000000000001E-3</v>
      </c>
      <c r="F85" s="1">
        <f t="shared" ca="1" si="3"/>
        <v>1.9249999999999996E-3</v>
      </c>
    </row>
    <row r="86" spans="1:6" x14ac:dyDescent="0.25">
      <c r="A86" t="str">
        <v>1987-01-31</v>
      </c>
      <c r="B86">
        <f ca="1"/>
        <v>6.2600000000000003E-2</v>
      </c>
      <c r="C86">
        <f ca="1"/>
        <v>7.0800000000000002E-2</v>
      </c>
      <c r="D86">
        <f t="shared" ca="1" si="2"/>
        <v>5.8999999999999999E-3</v>
      </c>
      <c r="E86" s="1">
        <f ca="1"/>
        <v>5.0000000000000001E-3</v>
      </c>
      <c r="F86" s="1">
        <f t="shared" ca="1" si="3"/>
        <v>8.9999999999999976E-4</v>
      </c>
    </row>
    <row r="87" spans="1:6" x14ac:dyDescent="0.25">
      <c r="A87" t="str">
        <v>1987-02-28</v>
      </c>
      <c r="B87">
        <f ca="1"/>
        <v>5.6300000000000003E-2</v>
      </c>
      <c r="C87">
        <f ca="1"/>
        <v>7.2499999999999995E-2</v>
      </c>
      <c r="D87">
        <f t="shared" ca="1" si="2"/>
        <v>6.0416666666666665E-3</v>
      </c>
      <c r="E87" s="1">
        <f ca="1"/>
        <v>4.0000000000000001E-3</v>
      </c>
      <c r="F87" s="1">
        <f t="shared" ca="1" si="3"/>
        <v>2.0416666666666665E-3</v>
      </c>
    </row>
    <row r="88" spans="1:6" x14ac:dyDescent="0.25">
      <c r="A88" t="str">
        <v>1987-03-31</v>
      </c>
      <c r="B88">
        <f ca="1"/>
        <v>5.3699999999999998E-2</v>
      </c>
      <c r="C88">
        <f ca="1"/>
        <v>7.2499999999999995E-2</v>
      </c>
      <c r="D88">
        <f t="shared" ca="1" si="2"/>
        <v>6.0416666666666665E-3</v>
      </c>
      <c r="E88" s="1">
        <f ca="1"/>
        <v>4.0000000000000001E-3</v>
      </c>
      <c r="F88" s="1">
        <f t="shared" ca="1" si="3"/>
        <v>2.0416666666666665E-3</v>
      </c>
    </row>
    <row r="89" spans="1:6" x14ac:dyDescent="0.25">
      <c r="A89" t="str">
        <v>1987-04-30</v>
      </c>
      <c r="B89">
        <f ca="1"/>
        <v>4.6600000000000003E-2</v>
      </c>
      <c r="C89">
        <f ca="1"/>
        <v>8.0199999999999994E-2</v>
      </c>
      <c r="D89">
        <f t="shared" ca="1" si="2"/>
        <v>6.6833333333333328E-3</v>
      </c>
      <c r="E89" s="1">
        <f ca="1"/>
        <v>4.0000000000000001E-3</v>
      </c>
      <c r="F89" s="1">
        <f t="shared" ca="1" si="3"/>
        <v>2.6833333333333327E-3</v>
      </c>
    </row>
    <row r="90" spans="1:6" x14ac:dyDescent="0.25">
      <c r="A90" t="str">
        <v>1987-05-31</v>
      </c>
      <c r="B90">
        <f ca="1"/>
        <v>4.07E-2</v>
      </c>
      <c r="C90">
        <f ca="1"/>
        <v>8.6099999999999996E-2</v>
      </c>
      <c r="D90">
        <f t="shared" ca="1" si="2"/>
        <v>7.175E-3</v>
      </c>
      <c r="E90" s="1">
        <f ca="1"/>
        <v>3.0000000000000001E-3</v>
      </c>
      <c r="F90" s="1">
        <f t="shared" ca="1" si="3"/>
        <v>4.1749999999999999E-3</v>
      </c>
    </row>
    <row r="91" spans="1:6" x14ac:dyDescent="0.25">
      <c r="A91" t="str">
        <v>1987-06-30</v>
      </c>
      <c r="B91">
        <f ca="1"/>
        <v>0.04</v>
      </c>
      <c r="C91">
        <f ca="1"/>
        <v>8.4000000000000005E-2</v>
      </c>
      <c r="D91">
        <f t="shared" ca="1" si="2"/>
        <v>7.0000000000000001E-3</v>
      </c>
      <c r="E91" s="1">
        <f ca="1"/>
        <v>4.0000000000000001E-3</v>
      </c>
      <c r="F91" s="1">
        <f t="shared" ca="1" si="3"/>
        <v>3.0000000000000001E-3</v>
      </c>
    </row>
    <row r="92" spans="1:6" x14ac:dyDescent="0.25">
      <c r="A92" t="str">
        <v>1987-07-31</v>
      </c>
      <c r="B92">
        <f ca="1"/>
        <v>3.7600000000000001E-2</v>
      </c>
      <c r="C92">
        <f ca="1"/>
        <v>8.4500000000000006E-2</v>
      </c>
      <c r="D92">
        <f t="shared" ca="1" si="2"/>
        <v>7.0416666666666674E-3</v>
      </c>
      <c r="E92" s="1">
        <f ca="1"/>
        <v>3.0000000000000001E-3</v>
      </c>
      <c r="F92" s="1">
        <f t="shared" ca="1" si="3"/>
        <v>4.0416666666666674E-3</v>
      </c>
    </row>
    <row r="93" spans="1:6" x14ac:dyDescent="0.25">
      <c r="A93" t="str">
        <v>1987-08-31</v>
      </c>
      <c r="B93">
        <f ca="1"/>
        <v>3.15E-2</v>
      </c>
      <c r="C93">
        <f ca="1"/>
        <v>8.7599999999999997E-2</v>
      </c>
      <c r="D93">
        <f t="shared" ca="1" si="2"/>
        <v>7.3000000000000001E-3</v>
      </c>
      <c r="E93" s="1">
        <f ca="1"/>
        <v>4.0000000000000001E-3</v>
      </c>
      <c r="F93" s="1">
        <f t="shared" ca="1" si="3"/>
        <v>3.3E-3</v>
      </c>
    </row>
    <row r="94" spans="1:6" x14ac:dyDescent="0.25">
      <c r="A94" t="str">
        <v>1987-09-30</v>
      </c>
      <c r="B94">
        <f ca="1"/>
        <v>2.7099999999999999E-2</v>
      </c>
      <c r="C94">
        <f ca="1"/>
        <v>9.4200000000000006E-2</v>
      </c>
      <c r="D94">
        <f t="shared" ca="1" si="2"/>
        <v>7.8500000000000011E-3</v>
      </c>
      <c r="E94" s="1">
        <f ca="1"/>
        <v>3.0000000000000001E-3</v>
      </c>
      <c r="F94" s="1">
        <f t="shared" ca="1" si="3"/>
        <v>4.850000000000001E-3</v>
      </c>
    </row>
    <row r="95" spans="1:6" x14ac:dyDescent="0.25">
      <c r="A95" t="str">
        <v>1987-10-31</v>
      </c>
      <c r="B95">
        <f ca="1"/>
        <v>3.39E-2</v>
      </c>
      <c r="C95">
        <f ca="1"/>
        <v>9.5200000000000007E-2</v>
      </c>
      <c r="D95">
        <f t="shared" ca="1" si="2"/>
        <v>7.9333333333333339E-3</v>
      </c>
      <c r="E95" s="1">
        <f ca="1"/>
        <v>3.0000000000000001E-3</v>
      </c>
      <c r="F95" s="1">
        <f t="shared" ca="1" si="3"/>
        <v>4.9333333333333338E-3</v>
      </c>
    </row>
    <row r="96" spans="1:6" x14ac:dyDescent="0.25">
      <c r="A96" t="str">
        <v>1987-11-30</v>
      </c>
      <c r="B96">
        <f ca="1"/>
        <v>4.9200000000000001E-2</v>
      </c>
      <c r="C96">
        <f ca="1"/>
        <v>8.8599999999999998E-2</v>
      </c>
      <c r="D96">
        <f t="shared" ca="1" si="2"/>
        <v>7.3833333333333329E-3</v>
      </c>
      <c r="E96" s="1">
        <f ca="1"/>
        <v>3.0000000000000001E-3</v>
      </c>
      <c r="F96" s="1">
        <f t="shared" ca="1" si="3"/>
        <v>4.3833333333333328E-3</v>
      </c>
    </row>
    <row r="97" spans="1:6" x14ac:dyDescent="0.25">
      <c r="A97" t="str">
        <v>1987-12-31</v>
      </c>
      <c r="B97">
        <f ca="1"/>
        <v>4.87E-2</v>
      </c>
      <c r="C97">
        <f ca="1"/>
        <v>8.9899999999999994E-2</v>
      </c>
      <c r="D97">
        <f t="shared" ca="1" si="2"/>
        <v>7.4916666666666664E-3</v>
      </c>
      <c r="E97" s="1">
        <f ca="1"/>
        <v>2E-3</v>
      </c>
      <c r="F97" s="1">
        <f t="shared" ca="1" si="3"/>
        <v>5.4916666666666664E-3</v>
      </c>
    </row>
    <row r="98" spans="1:6" x14ac:dyDescent="0.25">
      <c r="A98" t="str">
        <v>1988-01-31</v>
      </c>
      <c r="B98">
        <f ca="1"/>
        <v>4.8800000000000003E-2</v>
      </c>
      <c r="C98">
        <f ca="1"/>
        <v>8.6699999999999999E-2</v>
      </c>
      <c r="D98">
        <f t="shared" ca="1" si="2"/>
        <v>7.2249999999999997E-3</v>
      </c>
      <c r="E98" s="1">
        <f ca="1"/>
        <v>3.0000000000000001E-3</v>
      </c>
      <c r="F98" s="1">
        <f t="shared" ca="1" si="3"/>
        <v>4.2249999999999996E-3</v>
      </c>
    </row>
    <row r="99" spans="1:6" x14ac:dyDescent="0.25">
      <c r="A99" t="str">
        <v>1988-02-29</v>
      </c>
      <c r="B99">
        <f ca="1"/>
        <v>5.0999999999999997E-2</v>
      </c>
      <c r="C99">
        <f ca="1"/>
        <v>8.2100000000000006E-2</v>
      </c>
      <c r="D99">
        <f t="shared" ca="1" si="2"/>
        <v>6.8416666666666669E-3</v>
      </c>
      <c r="E99" s="1">
        <f ca="1"/>
        <v>2E-3</v>
      </c>
      <c r="F99" s="1">
        <f t="shared" ca="1" si="3"/>
        <v>4.8416666666666669E-3</v>
      </c>
    </row>
    <row r="100" spans="1:6" x14ac:dyDescent="0.25">
      <c r="A100" t="str">
        <v>1988-03-31</v>
      </c>
      <c r="B100">
        <f ca="1"/>
        <v>4.7199999999999999E-2</v>
      </c>
      <c r="C100">
        <f ca="1"/>
        <v>8.3699999999999997E-2</v>
      </c>
      <c r="D100">
        <f t="shared" ca="1" si="2"/>
        <v>6.9749999999999994E-3</v>
      </c>
      <c r="E100" s="1">
        <f ca="1"/>
        <v>3.0000000000000001E-3</v>
      </c>
      <c r="F100" s="1">
        <f t="shared" ca="1" si="3"/>
        <v>3.9749999999999994E-3</v>
      </c>
    </row>
    <row r="101" spans="1:6" x14ac:dyDescent="0.25">
      <c r="A101" t="str">
        <v>1988-04-30</v>
      </c>
      <c r="B101">
        <f ca="1"/>
        <v>4.4499999999999998E-2</v>
      </c>
      <c r="C101">
        <f ca="1"/>
        <v>8.72E-2</v>
      </c>
      <c r="D101">
        <f t="shared" ca="1" si="2"/>
        <v>7.2666666666666669E-3</v>
      </c>
      <c r="E101" s="1">
        <f ca="1"/>
        <v>6.0000000000000001E-3</v>
      </c>
      <c r="F101" s="1">
        <f t="shared" ca="1" si="3"/>
        <v>1.2666666666666668E-3</v>
      </c>
    </row>
    <row r="102" spans="1:6" x14ac:dyDescent="0.25">
      <c r="A102" t="str">
        <v>1988-05-31</v>
      </c>
      <c r="B102">
        <f ca="1"/>
        <v>4.2200000000000001E-2</v>
      </c>
      <c r="C102">
        <f ca="1"/>
        <v>9.0899999999999995E-2</v>
      </c>
      <c r="D102">
        <f t="shared" ca="1" si="2"/>
        <v>7.5749999999999993E-3</v>
      </c>
      <c r="E102" s="1">
        <f ca="1"/>
        <v>3.0000000000000001E-3</v>
      </c>
      <c r="F102" s="1">
        <f t="shared" ca="1" si="3"/>
        <v>4.5749999999999992E-3</v>
      </c>
    </row>
    <row r="103" spans="1:6" x14ac:dyDescent="0.25">
      <c r="A103" t="str">
        <v>1988-06-30</v>
      </c>
      <c r="B103">
        <f ca="1"/>
        <v>3.9600000000000003E-2</v>
      </c>
      <c r="C103">
        <f ca="1"/>
        <v>8.9200000000000002E-2</v>
      </c>
      <c r="D103">
        <f t="shared" ca="1" si="2"/>
        <v>7.4333333333333335E-3</v>
      </c>
      <c r="E103" s="1">
        <f ca="1"/>
        <v>4.0000000000000001E-3</v>
      </c>
      <c r="F103" s="1">
        <f t="shared" ca="1" si="3"/>
        <v>3.4333333333333334E-3</v>
      </c>
    </row>
    <row r="104" spans="1:6" x14ac:dyDescent="0.25">
      <c r="A104" t="str">
        <v>1988-07-31</v>
      </c>
      <c r="B104">
        <f ca="1"/>
        <v>3.8600000000000002E-2</v>
      </c>
      <c r="C104">
        <f ca="1"/>
        <v>9.06E-2</v>
      </c>
      <c r="D104">
        <f t="shared" ca="1" si="2"/>
        <v>7.5500000000000003E-3</v>
      </c>
      <c r="E104" s="1">
        <f ca="1"/>
        <v>4.0000000000000001E-3</v>
      </c>
      <c r="F104" s="1">
        <f t="shared" ca="1" si="3"/>
        <v>3.5500000000000002E-3</v>
      </c>
    </row>
    <row r="105" spans="1:6" x14ac:dyDescent="0.25">
      <c r="A105" t="str">
        <v>1988-08-31</v>
      </c>
      <c r="B105">
        <f ca="1"/>
        <v>3.8300000000000001E-2</v>
      </c>
      <c r="C105">
        <f ca="1"/>
        <v>9.2600000000000002E-2</v>
      </c>
      <c r="D105">
        <f t="shared" ca="1" si="2"/>
        <v>7.7166666666666668E-3</v>
      </c>
      <c r="E105" s="1">
        <f ca="1"/>
        <v>4.0000000000000001E-3</v>
      </c>
      <c r="F105" s="1">
        <f t="shared" ca="1" si="3"/>
        <v>3.7166666666666667E-3</v>
      </c>
    </row>
    <row r="106" spans="1:6" x14ac:dyDescent="0.25">
      <c r="A106" t="str">
        <v>1988-09-30</v>
      </c>
      <c r="B106">
        <f ca="1"/>
        <v>4.0399999999999998E-2</v>
      </c>
      <c r="C106">
        <f ca="1"/>
        <v>8.9800000000000005E-2</v>
      </c>
      <c r="D106">
        <f t="shared" ca="1" si="2"/>
        <v>7.483333333333334E-3</v>
      </c>
      <c r="E106" s="1">
        <f ca="1"/>
        <v>4.0000000000000001E-3</v>
      </c>
      <c r="F106" s="1">
        <f t="shared" ca="1" si="3"/>
        <v>3.4833333333333339E-3</v>
      </c>
    </row>
    <row r="107" spans="1:6" x14ac:dyDescent="0.25">
      <c r="A107" t="str">
        <v>1988-10-31</v>
      </c>
      <c r="B107">
        <f ca="1"/>
        <v>3.95E-2</v>
      </c>
      <c r="C107">
        <f ca="1"/>
        <v>8.7999999999999995E-2</v>
      </c>
      <c r="D107">
        <f t="shared" ca="1" si="2"/>
        <v>7.3333333333333332E-3</v>
      </c>
      <c r="E107" s="1">
        <f ca="1"/>
        <v>3.0000000000000001E-3</v>
      </c>
      <c r="F107" s="1">
        <f t="shared" ca="1" si="3"/>
        <v>4.3333333333333331E-3</v>
      </c>
    </row>
    <row r="108" spans="1:6" x14ac:dyDescent="0.25">
      <c r="A108" t="str">
        <v>1988-11-30</v>
      </c>
      <c r="B108">
        <f ca="1"/>
        <v>3.9300000000000002E-2</v>
      </c>
      <c r="C108">
        <f ca="1"/>
        <v>8.9599999999999999E-2</v>
      </c>
      <c r="D108">
        <f t="shared" ca="1" si="2"/>
        <v>7.4666666666666666E-3</v>
      </c>
      <c r="E108" s="1">
        <f ca="1"/>
        <v>3.0000000000000001E-3</v>
      </c>
      <c r="F108" s="1">
        <f t="shared" ca="1" si="3"/>
        <v>4.4666666666666665E-3</v>
      </c>
    </row>
    <row r="109" spans="1:6" x14ac:dyDescent="0.25">
      <c r="A109" t="str">
        <v>1988-12-31</v>
      </c>
      <c r="B109">
        <f ca="1"/>
        <v>3.6299999999999999E-2</v>
      </c>
      <c r="C109">
        <f ca="1"/>
        <v>9.11E-2</v>
      </c>
      <c r="D109">
        <f t="shared" ca="1" si="2"/>
        <v>7.5916666666666667E-3</v>
      </c>
      <c r="E109" s="1">
        <f ca="1"/>
        <v>3.0000000000000001E-3</v>
      </c>
      <c r="F109" s="1">
        <f t="shared" ca="1" si="3"/>
        <v>4.5916666666666666E-3</v>
      </c>
    </row>
    <row r="110" spans="1:6" x14ac:dyDescent="0.25">
      <c r="A110" t="str">
        <v>1989-01-31</v>
      </c>
      <c r="B110">
        <f ca="1"/>
        <v>3.4299999999999997E-2</v>
      </c>
      <c r="C110">
        <f ca="1"/>
        <v>9.0899999999999995E-2</v>
      </c>
      <c r="D110">
        <f t="shared" ca="1" si="2"/>
        <v>7.5749999999999993E-3</v>
      </c>
      <c r="E110" s="1">
        <f ca="1"/>
        <v>4.0000000000000001E-3</v>
      </c>
      <c r="F110" s="1">
        <f t="shared" ca="1" si="3"/>
        <v>3.5749999999999992E-3</v>
      </c>
    </row>
    <row r="111" spans="1:6" x14ac:dyDescent="0.25">
      <c r="A111" t="str">
        <v>1989-02-28</v>
      </c>
      <c r="B111">
        <f ca="1"/>
        <v>3.1099999999999999E-2</v>
      </c>
      <c r="C111">
        <f ca="1"/>
        <v>9.1700000000000004E-2</v>
      </c>
      <c r="D111">
        <f t="shared" ca="1" si="2"/>
        <v>7.6416666666666673E-3</v>
      </c>
      <c r="E111" s="1">
        <f ca="1"/>
        <v>3.0000000000000001E-3</v>
      </c>
      <c r="F111" s="1">
        <f t="shared" ca="1" si="3"/>
        <v>4.6416666666666672E-3</v>
      </c>
    </row>
    <row r="112" spans="1:6" x14ac:dyDescent="0.25">
      <c r="A112" t="str">
        <v>1989-03-31</v>
      </c>
      <c r="B112">
        <f ca="1"/>
        <v>2.9499999999999998E-2</v>
      </c>
      <c r="C112">
        <f ca="1"/>
        <v>9.3600000000000003E-2</v>
      </c>
      <c r="D112">
        <f t="shared" ca="1" si="2"/>
        <v>7.8000000000000005E-3</v>
      </c>
      <c r="E112" s="1">
        <f ca="1"/>
        <v>5.0000000000000001E-3</v>
      </c>
      <c r="F112" s="1">
        <f t="shared" ca="1" si="3"/>
        <v>2.8000000000000004E-3</v>
      </c>
    </row>
    <row r="113" spans="1:6" x14ac:dyDescent="0.25">
      <c r="A113" t="str">
        <v>1989-04-30</v>
      </c>
      <c r="B113">
        <f ca="1"/>
        <v>2.9100000000000001E-2</v>
      </c>
      <c r="C113">
        <f ca="1"/>
        <v>9.1800000000000007E-2</v>
      </c>
      <c r="D113">
        <f t="shared" ca="1" si="2"/>
        <v>7.6500000000000005E-3</v>
      </c>
      <c r="E113" s="1">
        <f ca="1"/>
        <v>7.0000000000000001E-3</v>
      </c>
      <c r="F113" s="1">
        <f t="shared" ca="1" si="3"/>
        <v>6.500000000000004E-4</v>
      </c>
    </row>
    <row r="114" spans="1:6" x14ac:dyDescent="0.25">
      <c r="A114" t="str">
        <v>1989-05-31</v>
      </c>
      <c r="B114">
        <f ca="1"/>
        <v>2.9600000000000001E-2</v>
      </c>
      <c r="C114">
        <f ca="1"/>
        <v>8.8599999999999998E-2</v>
      </c>
      <c r="D114">
        <f t="shared" ca="1" si="2"/>
        <v>7.3833333333333329E-3</v>
      </c>
      <c r="E114" s="1">
        <f ca="1"/>
        <v>5.0000000000000001E-3</v>
      </c>
      <c r="F114" s="1">
        <f t="shared" ca="1" si="3"/>
        <v>2.3833333333333328E-3</v>
      </c>
    </row>
    <row r="115" spans="1:6" x14ac:dyDescent="0.25">
      <c r="A115" t="str">
        <v>1989-06-30</v>
      </c>
      <c r="B115">
        <f ca="1"/>
        <v>3.2800000000000003E-2</v>
      </c>
      <c r="C115">
        <f ca="1"/>
        <v>8.2799999999999999E-2</v>
      </c>
      <c r="D115">
        <f t="shared" ca="1" si="2"/>
        <v>6.8999999999999999E-3</v>
      </c>
      <c r="E115" s="1">
        <f ca="1"/>
        <v>3.0000000000000001E-3</v>
      </c>
      <c r="F115" s="1">
        <f t="shared" ca="1" si="3"/>
        <v>3.8999999999999998E-3</v>
      </c>
    </row>
    <row r="116" spans="1:6" x14ac:dyDescent="0.25">
      <c r="A116" t="str">
        <v>1989-07-31</v>
      </c>
      <c r="B116">
        <f ca="1"/>
        <v>3.32E-2</v>
      </c>
      <c r="C116">
        <f ca="1"/>
        <v>8.0199999999999994E-2</v>
      </c>
      <c r="D116">
        <f t="shared" ca="1" si="2"/>
        <v>6.6833333333333328E-3</v>
      </c>
      <c r="E116" s="1">
        <f ca="1"/>
        <v>3.0000000000000001E-3</v>
      </c>
      <c r="F116" s="1">
        <f t="shared" ca="1" si="3"/>
        <v>3.6833333333333327E-3</v>
      </c>
    </row>
    <row r="117" spans="1:6" x14ac:dyDescent="0.25">
      <c r="A117" t="str">
        <v>1989-08-31</v>
      </c>
      <c r="B117">
        <f ca="1"/>
        <v>2.9100000000000001E-2</v>
      </c>
      <c r="C117">
        <f ca="1"/>
        <v>8.1100000000000005E-2</v>
      </c>
      <c r="D117">
        <f t="shared" ca="1" si="2"/>
        <v>6.7583333333333341E-3</v>
      </c>
      <c r="E117" s="1">
        <f ca="1"/>
        <v>0</v>
      </c>
      <c r="F117" s="1">
        <f t="shared" ca="1" si="3"/>
        <v>6.7583333333333341E-3</v>
      </c>
    </row>
    <row r="118" spans="1:6" x14ac:dyDescent="0.25">
      <c r="A118" t="str">
        <v>1989-09-30</v>
      </c>
      <c r="B118">
        <f ca="1"/>
        <v>2.75E-2</v>
      </c>
      <c r="C118">
        <f ca="1"/>
        <v>8.1900000000000001E-2</v>
      </c>
      <c r="D118">
        <f t="shared" ca="1" si="2"/>
        <v>6.8250000000000003E-3</v>
      </c>
      <c r="E118" s="1">
        <f ca="1"/>
        <v>2E-3</v>
      </c>
      <c r="F118" s="1">
        <f t="shared" ca="1" si="3"/>
        <v>4.8250000000000003E-3</v>
      </c>
    </row>
    <row r="119" spans="1:6" x14ac:dyDescent="0.25">
      <c r="A119" t="str">
        <v>1989-10-31</v>
      </c>
      <c r="B119">
        <f ca="1"/>
        <v>2.92E-2</v>
      </c>
      <c r="C119">
        <f ca="1"/>
        <v>8.0100000000000005E-2</v>
      </c>
      <c r="D119">
        <f t="shared" ca="1" si="2"/>
        <v>6.6750000000000004E-3</v>
      </c>
      <c r="E119" s="1">
        <f ca="1"/>
        <v>5.0000000000000001E-3</v>
      </c>
      <c r="F119" s="1">
        <f t="shared" ca="1" si="3"/>
        <v>1.6750000000000003E-3</v>
      </c>
    </row>
    <row r="120" spans="1:6" x14ac:dyDescent="0.25">
      <c r="A120" t="str">
        <v>1989-11-30</v>
      </c>
      <c r="B120">
        <f ca="1"/>
        <v>3.1199999999999999E-2</v>
      </c>
      <c r="C120">
        <f ca="1"/>
        <v>7.8700000000000006E-2</v>
      </c>
      <c r="D120">
        <f t="shared" ca="1" si="2"/>
        <v>6.5583333333333335E-3</v>
      </c>
      <c r="E120" s="1">
        <f ca="1"/>
        <v>4.0000000000000001E-3</v>
      </c>
      <c r="F120" s="1">
        <f t="shared" ca="1" si="3"/>
        <v>2.5583333333333335E-3</v>
      </c>
    </row>
    <row r="121" spans="1:6" x14ac:dyDescent="0.25">
      <c r="A121" t="str">
        <v>1989-12-31</v>
      </c>
      <c r="B121">
        <f ca="1"/>
        <v>2.92E-2</v>
      </c>
      <c r="C121">
        <f ca="1"/>
        <v>7.8399999999999997E-2</v>
      </c>
      <c r="D121">
        <f t="shared" ca="1" si="2"/>
        <v>6.5333333333333328E-3</v>
      </c>
      <c r="E121" s="1">
        <f ca="1"/>
        <v>3.0000000000000001E-3</v>
      </c>
      <c r="F121" s="1">
        <f t="shared" ca="1" si="3"/>
        <v>3.5333333333333328E-3</v>
      </c>
    </row>
    <row r="122" spans="1:6" x14ac:dyDescent="0.25">
      <c r="A122" t="str">
        <v>1990-01-31</v>
      </c>
      <c r="B122">
        <f ca="1"/>
        <v>2.7099999999999999E-2</v>
      </c>
      <c r="C122">
        <f ca="1"/>
        <v>8.2100000000000006E-2</v>
      </c>
      <c r="D122">
        <f t="shared" ca="1" si="2"/>
        <v>6.8416666666666669E-3</v>
      </c>
      <c r="E122" s="1">
        <f ca="1"/>
        <v>0.01</v>
      </c>
      <c r="F122" s="1">
        <f t="shared" ca="1" si="3"/>
        <v>-3.1583333333333333E-3</v>
      </c>
    </row>
    <row r="123" spans="1:6" x14ac:dyDescent="0.25">
      <c r="A123" t="str">
        <v>1990-02-28</v>
      </c>
      <c r="B123">
        <f ca="1"/>
        <v>2.5499999999999998E-2</v>
      </c>
      <c r="C123">
        <f ca="1"/>
        <v>8.4699999999999998E-2</v>
      </c>
      <c r="D123">
        <f t="shared" ca="1" si="2"/>
        <v>7.0583333333333331E-3</v>
      </c>
      <c r="E123" s="1">
        <f ca="1"/>
        <v>4.0000000000000001E-3</v>
      </c>
      <c r="F123" s="1">
        <f t="shared" ca="1" si="3"/>
        <v>3.058333333333333E-3</v>
      </c>
    </row>
    <row r="124" spans="1:6" x14ac:dyDescent="0.25">
      <c r="A124" t="str">
        <v>1990-03-31</v>
      </c>
      <c r="B124">
        <f ca="1"/>
        <v>2.2100000000000002E-2</v>
      </c>
      <c r="C124">
        <f ca="1"/>
        <v>8.5900000000000004E-2</v>
      </c>
      <c r="D124">
        <f t="shared" ca="1" si="2"/>
        <v>7.1583333333333334E-3</v>
      </c>
      <c r="E124" s="1">
        <f ca="1"/>
        <v>5.0000000000000001E-3</v>
      </c>
      <c r="F124" s="1">
        <f t="shared" ca="1" si="3"/>
        <v>2.1583333333333333E-3</v>
      </c>
    </row>
    <row r="125" spans="1:6" x14ac:dyDescent="0.25">
      <c r="A125" t="str">
        <v>1990-04-30</v>
      </c>
      <c r="B125">
        <f ca="1"/>
        <v>1.9099999999999999E-2</v>
      </c>
      <c r="C125">
        <f ca="1"/>
        <v>8.7900000000000006E-2</v>
      </c>
      <c r="D125">
        <f t="shared" ca="1" si="2"/>
        <v>7.3250000000000008E-3</v>
      </c>
      <c r="E125" s="1">
        <f ca="1"/>
        <v>2E-3</v>
      </c>
      <c r="F125" s="1">
        <f t="shared" ca="1" si="3"/>
        <v>5.3250000000000007E-3</v>
      </c>
    </row>
    <row r="126" spans="1:6" x14ac:dyDescent="0.25">
      <c r="A126" t="str">
        <v>1990-05-31</v>
      </c>
      <c r="B126">
        <f ca="1"/>
        <v>1.67E-2</v>
      </c>
      <c r="C126">
        <f ca="1"/>
        <v>8.7599999999999997E-2</v>
      </c>
      <c r="D126">
        <f t="shared" ca="1" si="2"/>
        <v>7.3000000000000001E-3</v>
      </c>
      <c r="E126" s="1">
        <f ca="1"/>
        <v>2E-3</v>
      </c>
      <c r="F126" s="1">
        <f t="shared" ca="1" si="3"/>
        <v>5.3E-3</v>
      </c>
    </row>
    <row r="127" spans="1:6" x14ac:dyDescent="0.25">
      <c r="A127" t="str">
        <v>1990-06-30</v>
      </c>
      <c r="B127">
        <f ca="1"/>
        <v>1.7500000000000002E-2</v>
      </c>
      <c r="C127">
        <f ca="1"/>
        <v>8.48E-2</v>
      </c>
      <c r="D127">
        <f t="shared" ca="1" si="2"/>
        <v>7.0666666666666664E-3</v>
      </c>
      <c r="E127" s="1">
        <f ca="1"/>
        <v>6.0000000000000001E-3</v>
      </c>
      <c r="F127" s="1">
        <f t="shared" ca="1" si="3"/>
        <v>1.0666666666666663E-3</v>
      </c>
    </row>
    <row r="128" spans="1:6" x14ac:dyDescent="0.25">
      <c r="A128" t="str">
        <v>1990-07-31</v>
      </c>
      <c r="B128">
        <f ca="1"/>
        <v>1.8200000000000001E-2</v>
      </c>
      <c r="C128">
        <f ca="1"/>
        <v>8.4699999999999998E-2</v>
      </c>
      <c r="D128">
        <f t="shared" ca="1" si="2"/>
        <v>7.0583333333333331E-3</v>
      </c>
      <c r="E128" s="1">
        <f ca="1"/>
        <v>5.0000000000000001E-3</v>
      </c>
      <c r="F128" s="1">
        <f t="shared" ca="1" si="3"/>
        <v>2.058333333333333E-3</v>
      </c>
    </row>
    <row r="129" spans="1:6" x14ac:dyDescent="0.25">
      <c r="A129" t="str">
        <v>1990-08-31</v>
      </c>
      <c r="B129">
        <f ca="1"/>
        <v>2.1100000000000001E-2</v>
      </c>
      <c r="C129">
        <f ca="1"/>
        <v>8.7499999999999994E-2</v>
      </c>
      <c r="D129">
        <f t="shared" ca="1" si="2"/>
        <v>7.2916666666666659E-3</v>
      </c>
      <c r="E129" s="1">
        <f ca="1"/>
        <v>8.0000000000000002E-3</v>
      </c>
      <c r="F129" s="1">
        <f t="shared" ca="1" si="3"/>
        <v>-7.0833333333333425E-4</v>
      </c>
    </row>
    <row r="130" spans="1:6" x14ac:dyDescent="0.25">
      <c r="A130" t="str">
        <v>1990-09-30</v>
      </c>
      <c r="B130">
        <f ca="1"/>
        <v>2.3199999999999998E-2</v>
      </c>
      <c r="C130">
        <f ca="1"/>
        <v>8.8900000000000007E-2</v>
      </c>
      <c r="D130">
        <f t="shared" ca="1" si="2"/>
        <v>7.4083333333333336E-3</v>
      </c>
      <c r="E130" s="1">
        <f ca="1"/>
        <v>7.0000000000000001E-3</v>
      </c>
      <c r="F130" s="1">
        <f t="shared" ca="1" si="3"/>
        <v>4.0833333333333346E-4</v>
      </c>
    </row>
    <row r="131" spans="1:6" x14ac:dyDescent="0.25">
      <c r="A131" t="str">
        <v>1990-10-31</v>
      </c>
      <c r="B131">
        <f ca="1"/>
        <v>2.6700000000000002E-2</v>
      </c>
      <c r="C131">
        <f ca="1"/>
        <v>8.72E-2</v>
      </c>
      <c r="D131">
        <f t="shared" ref="D131:D194" ca="1" si="4">C131/12</f>
        <v>7.2666666666666669E-3</v>
      </c>
      <c r="E131" s="1">
        <f ca="1"/>
        <v>7.0000000000000001E-3</v>
      </c>
      <c r="F131" s="1">
        <f t="shared" ref="F131:F194" ca="1" si="5">D131-E131</f>
        <v>2.6666666666666679E-4</v>
      </c>
    </row>
    <row r="132" spans="1:6" x14ac:dyDescent="0.25">
      <c r="A132" t="str">
        <v>1990-11-30</v>
      </c>
      <c r="B132">
        <f ca="1"/>
        <v>2.7699999999999999E-2</v>
      </c>
      <c r="C132">
        <f ca="1"/>
        <v>8.3900000000000002E-2</v>
      </c>
      <c r="D132">
        <f t="shared" ca="1" si="4"/>
        <v>6.9916666666666669E-3</v>
      </c>
      <c r="E132" s="1">
        <f ca="1"/>
        <v>2E-3</v>
      </c>
      <c r="F132" s="1">
        <f t="shared" ca="1" si="5"/>
        <v>4.9916666666666668E-3</v>
      </c>
    </row>
    <row r="133" spans="1:6" x14ac:dyDescent="0.25">
      <c r="A133" t="str">
        <v>1990-12-31</v>
      </c>
      <c r="B133">
        <f ca="1"/>
        <v>2.7099999999999999E-2</v>
      </c>
      <c r="C133">
        <f ca="1"/>
        <v>8.0799999999999997E-2</v>
      </c>
      <c r="D133">
        <f t="shared" ca="1" si="4"/>
        <v>6.7333333333333334E-3</v>
      </c>
      <c r="E133" s="1">
        <f ca="1"/>
        <v>4.0000000000000001E-3</v>
      </c>
      <c r="F133" s="1">
        <f t="shared" ca="1" si="5"/>
        <v>2.7333333333333333E-3</v>
      </c>
    </row>
    <row r="134" spans="1:6" x14ac:dyDescent="0.25">
      <c r="A134" t="str">
        <v>1991-01-31</v>
      </c>
      <c r="B134">
        <f ca="1"/>
        <v>2.7799999999999998E-2</v>
      </c>
      <c r="C134">
        <f ca="1"/>
        <v>8.09E-2</v>
      </c>
      <c r="D134">
        <f t="shared" ca="1" si="4"/>
        <v>6.7416666666666666E-3</v>
      </c>
      <c r="E134" s="1">
        <f ca="1"/>
        <v>4.0000000000000001E-3</v>
      </c>
      <c r="F134" s="1">
        <f t="shared" ca="1" si="5"/>
        <v>2.7416666666666666E-3</v>
      </c>
    </row>
    <row r="135" spans="1:6" x14ac:dyDescent="0.25">
      <c r="A135" t="str">
        <v>1991-02-28</v>
      </c>
      <c r="B135">
        <f ca="1"/>
        <v>2.2800000000000001E-2</v>
      </c>
      <c r="C135">
        <f ca="1"/>
        <v>7.85E-2</v>
      </c>
      <c r="D135">
        <f t="shared" ca="1" si="4"/>
        <v>6.541666666666667E-3</v>
      </c>
      <c r="E135" s="1">
        <f ca="1"/>
        <v>1E-3</v>
      </c>
      <c r="F135" s="1">
        <f t="shared" ca="1" si="5"/>
        <v>5.541666666666667E-3</v>
      </c>
    </row>
    <row r="136" spans="1:6" x14ac:dyDescent="0.25">
      <c r="A136" t="str">
        <v>1991-03-31</v>
      </c>
      <c r="B136">
        <f ca="1"/>
        <v>1.8200000000000001E-2</v>
      </c>
      <c r="C136">
        <f ca="1"/>
        <v>8.1100000000000005E-2</v>
      </c>
      <c r="D136">
        <f t="shared" ca="1" si="4"/>
        <v>6.7583333333333341E-3</v>
      </c>
      <c r="E136" s="1">
        <f ca="1"/>
        <v>0</v>
      </c>
      <c r="F136" s="1">
        <f t="shared" ca="1" si="5"/>
        <v>6.7583333333333341E-3</v>
      </c>
    </row>
    <row r="137" spans="1:6" x14ac:dyDescent="0.25">
      <c r="A137" t="str">
        <v>1991-04-30</v>
      </c>
      <c r="B137">
        <f ca="1"/>
        <v>1.7299999999999999E-2</v>
      </c>
      <c r="C137">
        <f ca="1"/>
        <v>8.0399999999999999E-2</v>
      </c>
      <c r="D137">
        <f t="shared" ca="1" si="4"/>
        <v>6.7000000000000002E-3</v>
      </c>
      <c r="E137" s="1">
        <f ca="1"/>
        <v>2E-3</v>
      </c>
      <c r="F137" s="1">
        <f t="shared" ca="1" si="5"/>
        <v>4.7000000000000002E-3</v>
      </c>
    </row>
    <row r="138" spans="1:6" x14ac:dyDescent="0.25">
      <c r="A138" t="str">
        <v>1991-05-31</v>
      </c>
      <c r="B138">
        <f ca="1"/>
        <v>1.6799999999999999E-2</v>
      </c>
      <c r="C138">
        <f ca="1"/>
        <v>8.0699999999999994E-2</v>
      </c>
      <c r="D138">
        <f t="shared" ca="1" si="4"/>
        <v>6.7249999999999992E-3</v>
      </c>
      <c r="E138" s="1">
        <f ca="1"/>
        <v>4.0000000000000001E-3</v>
      </c>
      <c r="F138" s="1">
        <f t="shared" ca="1" si="5"/>
        <v>2.7249999999999991E-3</v>
      </c>
    </row>
    <row r="139" spans="1:6" x14ac:dyDescent="0.25">
      <c r="A139" t="str">
        <v>1991-06-30</v>
      </c>
      <c r="B139">
        <f ca="1"/>
        <v>1.4200000000000001E-2</v>
      </c>
      <c r="C139">
        <f ca="1"/>
        <v>8.2799999999999999E-2</v>
      </c>
      <c r="D139">
        <f t="shared" ca="1" si="4"/>
        <v>6.8999999999999999E-3</v>
      </c>
      <c r="E139" s="1">
        <f ca="1"/>
        <v>3.0000000000000001E-3</v>
      </c>
      <c r="F139" s="1">
        <f t="shared" ca="1" si="5"/>
        <v>3.8999999999999998E-3</v>
      </c>
    </row>
    <row r="140" spans="1:6" x14ac:dyDescent="0.25">
      <c r="A140" t="str">
        <v>1991-07-31</v>
      </c>
      <c r="B140">
        <f ca="1"/>
        <v>1.2999999999999999E-2</v>
      </c>
      <c r="C140">
        <f ca="1"/>
        <v>8.2699999999999996E-2</v>
      </c>
      <c r="D140">
        <f t="shared" ca="1" si="4"/>
        <v>6.8916666666666666E-3</v>
      </c>
      <c r="E140" s="1">
        <f ca="1"/>
        <v>1E-3</v>
      </c>
      <c r="F140" s="1">
        <f t="shared" ca="1" si="5"/>
        <v>5.8916666666666666E-3</v>
      </c>
    </row>
    <row r="141" spans="1:6" x14ac:dyDescent="0.25">
      <c r="A141" t="str">
        <v>1991-08-31</v>
      </c>
      <c r="B141">
        <f ca="1"/>
        <v>1.4999999999999999E-2</v>
      </c>
      <c r="C141">
        <f ca="1"/>
        <v>7.9000000000000001E-2</v>
      </c>
      <c r="D141">
        <f t="shared" ca="1" si="4"/>
        <v>6.5833333333333334E-3</v>
      </c>
      <c r="E141" s="1">
        <f ca="1"/>
        <v>3.0000000000000001E-3</v>
      </c>
      <c r="F141" s="1">
        <f t="shared" ca="1" si="5"/>
        <v>3.5833333333333333E-3</v>
      </c>
    </row>
    <row r="142" spans="1:6" x14ac:dyDescent="0.25">
      <c r="A142" t="str">
        <v>1991-09-30</v>
      </c>
      <c r="B142">
        <f ca="1"/>
        <v>1.7399999999999999E-2</v>
      </c>
      <c r="C142">
        <f ca="1"/>
        <v>7.6499999999999999E-2</v>
      </c>
      <c r="D142">
        <f t="shared" ca="1" si="4"/>
        <v>6.3749999999999996E-3</v>
      </c>
      <c r="E142" s="1">
        <f ca="1"/>
        <v>3.0000000000000001E-3</v>
      </c>
      <c r="F142" s="1">
        <f t="shared" ca="1" si="5"/>
        <v>3.3749999999999995E-3</v>
      </c>
    </row>
    <row r="143" spans="1:6" x14ac:dyDescent="0.25">
      <c r="A143" t="str">
        <v>1991-10-31</v>
      </c>
      <c r="B143">
        <f ca="1"/>
        <v>1.8599999999999998E-2</v>
      </c>
      <c r="C143">
        <f ca="1"/>
        <v>7.5300000000000006E-2</v>
      </c>
      <c r="D143">
        <f t="shared" ca="1" si="4"/>
        <v>6.2750000000000002E-3</v>
      </c>
      <c r="E143" s="1">
        <f ca="1"/>
        <v>1E-3</v>
      </c>
      <c r="F143" s="1">
        <f t="shared" ca="1" si="5"/>
        <v>5.2750000000000002E-3</v>
      </c>
    </row>
    <row r="144" spans="1:6" x14ac:dyDescent="0.25">
      <c r="A144" t="str">
        <v>1991-11-30</v>
      </c>
      <c r="B144">
        <f ca="1"/>
        <v>1.9800000000000002E-2</v>
      </c>
      <c r="C144">
        <f ca="1"/>
        <v>7.4200000000000002E-2</v>
      </c>
      <c r="D144">
        <f t="shared" ca="1" si="4"/>
        <v>6.1833333333333332E-3</v>
      </c>
      <c r="E144" s="1">
        <f ca="1"/>
        <v>4.0000000000000001E-3</v>
      </c>
      <c r="F144" s="1">
        <f t="shared" ca="1" si="5"/>
        <v>2.1833333333333331E-3</v>
      </c>
    </row>
    <row r="145" spans="1:6" x14ac:dyDescent="0.25">
      <c r="A145" t="str">
        <v>1991-12-31</v>
      </c>
      <c r="B145">
        <f ca="1"/>
        <v>2.24E-2</v>
      </c>
      <c r="C145">
        <f ca="1"/>
        <v>7.0900000000000005E-2</v>
      </c>
      <c r="D145">
        <f t="shared" ca="1" si="4"/>
        <v>5.908333333333334E-3</v>
      </c>
      <c r="E145" s="1">
        <f ca="1"/>
        <v>3.0000000000000001E-3</v>
      </c>
      <c r="F145" s="1">
        <f t="shared" ca="1" si="5"/>
        <v>2.908333333333334E-3</v>
      </c>
    </row>
    <row r="146" spans="1:6" x14ac:dyDescent="0.25">
      <c r="A146" t="str">
        <v>1992-01-31</v>
      </c>
      <c r="B146">
        <f ca="1"/>
        <v>1.9199999999999998E-2</v>
      </c>
      <c r="C146">
        <f ca="1"/>
        <v>7.0300000000000001E-2</v>
      </c>
      <c r="D146">
        <f t="shared" ca="1" si="4"/>
        <v>5.8583333333333334E-3</v>
      </c>
      <c r="E146" s="1">
        <f ca="1"/>
        <v>1E-3</v>
      </c>
      <c r="F146" s="1">
        <f t="shared" ca="1" si="5"/>
        <v>4.8583333333333334E-3</v>
      </c>
    </row>
    <row r="147" spans="1:6" x14ac:dyDescent="0.25">
      <c r="A147" t="str">
        <v>1992-02-29</v>
      </c>
      <c r="B147">
        <f ca="1"/>
        <v>1.66E-2</v>
      </c>
      <c r="C147">
        <f ca="1"/>
        <v>7.3400000000000007E-2</v>
      </c>
      <c r="D147">
        <f t="shared" ca="1" si="4"/>
        <v>6.116666666666667E-3</v>
      </c>
      <c r="E147" s="1">
        <f ca="1"/>
        <v>2E-3</v>
      </c>
      <c r="F147" s="1">
        <f t="shared" ca="1" si="5"/>
        <v>4.1166666666666669E-3</v>
      </c>
    </row>
    <row r="148" spans="1:6" x14ac:dyDescent="0.25">
      <c r="A148" t="str">
        <v>1992-03-31</v>
      </c>
      <c r="B148">
        <f ca="1"/>
        <v>1.6E-2</v>
      </c>
      <c r="C148">
        <f ca="1"/>
        <v>7.5399999999999995E-2</v>
      </c>
      <c r="D148">
        <f t="shared" ca="1" si="4"/>
        <v>6.2833333333333326E-3</v>
      </c>
      <c r="E148" s="1">
        <f ca="1"/>
        <v>4.0000000000000001E-3</v>
      </c>
      <c r="F148" s="1">
        <f t="shared" ca="1" si="5"/>
        <v>2.2833333333333325E-3</v>
      </c>
    </row>
    <row r="149" spans="1:6" x14ac:dyDescent="0.25">
      <c r="A149" t="str">
        <v>1992-04-30</v>
      </c>
      <c r="B149">
        <f ca="1"/>
        <v>1.6299999999999999E-2</v>
      </c>
      <c r="C149">
        <f ca="1"/>
        <v>7.4800000000000005E-2</v>
      </c>
      <c r="D149">
        <f t="shared" ca="1" si="4"/>
        <v>6.2333333333333338E-3</v>
      </c>
      <c r="E149" s="1">
        <f ca="1"/>
        <v>2E-3</v>
      </c>
      <c r="F149" s="1">
        <f t="shared" ca="1" si="5"/>
        <v>4.2333333333333337E-3</v>
      </c>
    </row>
    <row r="150" spans="1:6" x14ac:dyDescent="0.25">
      <c r="A150" t="str">
        <v>1992-05-31</v>
      </c>
      <c r="B150">
        <f ca="1"/>
        <v>1.54E-2</v>
      </c>
      <c r="C150">
        <f ca="1"/>
        <v>7.3899999999999993E-2</v>
      </c>
      <c r="D150">
        <f t="shared" ca="1" si="4"/>
        <v>6.1583333333333325E-3</v>
      </c>
      <c r="E150" s="1">
        <f ca="1"/>
        <v>2E-3</v>
      </c>
      <c r="F150" s="1">
        <f t="shared" ca="1" si="5"/>
        <v>4.1583333333333325E-3</v>
      </c>
    </row>
    <row r="151" spans="1:6" x14ac:dyDescent="0.25">
      <c r="A151" t="str">
        <v>1992-06-30</v>
      </c>
      <c r="B151">
        <f ca="1"/>
        <v>1.67E-2</v>
      </c>
      <c r="C151">
        <f ca="1"/>
        <v>7.2599999999999998E-2</v>
      </c>
      <c r="D151">
        <f t="shared" ca="1" si="4"/>
        <v>6.0499999999999998E-3</v>
      </c>
      <c r="E151" s="1">
        <f ca="1"/>
        <v>3.0000000000000001E-3</v>
      </c>
      <c r="F151" s="1">
        <f t="shared" ca="1" si="5"/>
        <v>3.0499999999999998E-3</v>
      </c>
    </row>
    <row r="152" spans="1:6" x14ac:dyDescent="0.25">
      <c r="A152" t="str">
        <v>1992-07-31</v>
      </c>
      <c r="B152">
        <f ca="1"/>
        <v>1.9800000000000002E-2</v>
      </c>
      <c r="C152">
        <f ca="1"/>
        <v>6.8400000000000002E-2</v>
      </c>
      <c r="D152">
        <f t="shared" ca="1" si="4"/>
        <v>5.7000000000000002E-3</v>
      </c>
      <c r="E152" s="1">
        <f ca="1"/>
        <v>3.0000000000000001E-3</v>
      </c>
      <c r="F152" s="1">
        <f t="shared" ca="1" si="5"/>
        <v>2.7000000000000001E-3</v>
      </c>
    </row>
    <row r="153" spans="1:6" x14ac:dyDescent="0.25">
      <c r="A153" t="str">
        <v>1992-08-31</v>
      </c>
      <c r="B153">
        <f ca="1"/>
        <v>2.2100000000000002E-2</v>
      </c>
      <c r="C153">
        <f ca="1"/>
        <v>6.59E-2</v>
      </c>
      <c r="D153">
        <f t="shared" ca="1" si="4"/>
        <v>5.4916666666666664E-3</v>
      </c>
      <c r="E153" s="1">
        <f ca="1"/>
        <v>2E-3</v>
      </c>
      <c r="F153" s="1">
        <f t="shared" ca="1" si="5"/>
        <v>3.4916666666666664E-3</v>
      </c>
    </row>
    <row r="154" spans="1:6" x14ac:dyDescent="0.25">
      <c r="A154" t="str">
        <v>1992-09-30</v>
      </c>
      <c r="B154">
        <f ca="1"/>
        <v>2.3900000000000001E-2</v>
      </c>
      <c r="C154">
        <f ca="1"/>
        <v>6.4199999999999993E-2</v>
      </c>
      <c r="D154">
        <f t="shared" ca="1" si="4"/>
        <v>5.3499999999999997E-3</v>
      </c>
      <c r="E154" s="1">
        <f ca="1"/>
        <v>2E-3</v>
      </c>
      <c r="F154" s="1">
        <f t="shared" ca="1" si="5"/>
        <v>3.3499999999999997E-3</v>
      </c>
    </row>
    <row r="155" spans="1:6" x14ac:dyDescent="0.25">
      <c r="A155" t="str">
        <v>1992-10-31</v>
      </c>
      <c r="B155">
        <f ca="1"/>
        <v>2.3099999999999999E-2</v>
      </c>
      <c r="C155">
        <f ca="1"/>
        <v>6.59E-2</v>
      </c>
      <c r="D155">
        <f t="shared" ca="1" si="4"/>
        <v>5.4916666666666664E-3</v>
      </c>
      <c r="E155" s="1">
        <f ca="1"/>
        <v>4.0000000000000001E-3</v>
      </c>
      <c r="F155" s="1">
        <f t="shared" ca="1" si="5"/>
        <v>1.4916666666666663E-3</v>
      </c>
    </row>
    <row r="156" spans="1:6" x14ac:dyDescent="0.25">
      <c r="A156" t="str">
        <v>1992-11-30</v>
      </c>
      <c r="B156">
        <f ca="1"/>
        <v>1.95E-2</v>
      </c>
      <c r="C156">
        <f ca="1"/>
        <v>6.8699999999999997E-2</v>
      </c>
      <c r="D156">
        <f t="shared" ca="1" si="4"/>
        <v>5.7250000000000001E-3</v>
      </c>
      <c r="E156" s="1">
        <f ca="1"/>
        <v>3.0000000000000001E-3</v>
      </c>
      <c r="F156" s="1">
        <f t="shared" ca="1" si="5"/>
        <v>2.725E-3</v>
      </c>
    </row>
    <row r="157" spans="1:6" x14ac:dyDescent="0.25">
      <c r="A157" t="str">
        <v>1992-12-31</v>
      </c>
      <c r="B157">
        <f ca="1"/>
        <v>1.9300000000000001E-2</v>
      </c>
      <c r="C157">
        <f ca="1"/>
        <v>6.7699999999999996E-2</v>
      </c>
      <c r="D157">
        <f t="shared" ca="1" si="4"/>
        <v>5.6416666666666664E-3</v>
      </c>
      <c r="E157" s="1">
        <f ca="1"/>
        <v>1E-3</v>
      </c>
      <c r="F157" s="1">
        <f t="shared" ca="1" si="5"/>
        <v>4.6416666666666663E-3</v>
      </c>
    </row>
    <row r="158" spans="1:6" x14ac:dyDescent="0.25">
      <c r="A158" t="str">
        <v>1993-01-31</v>
      </c>
      <c r="B158">
        <f ca="1"/>
        <v>2.1600000000000001E-2</v>
      </c>
      <c r="C158">
        <f ca="1"/>
        <v>6.6000000000000003E-2</v>
      </c>
      <c r="D158">
        <f t="shared" ca="1" si="4"/>
        <v>5.5000000000000005E-3</v>
      </c>
      <c r="E158" s="1">
        <f ca="1"/>
        <v>4.0000000000000001E-3</v>
      </c>
      <c r="F158" s="1">
        <f t="shared" ca="1" si="5"/>
        <v>1.5000000000000005E-3</v>
      </c>
    </row>
    <row r="159" spans="1:6" x14ac:dyDescent="0.25">
      <c r="A159" t="str">
        <v>1993-02-28</v>
      </c>
      <c r="B159">
        <f ca="1"/>
        <v>2.4799999999999999E-2</v>
      </c>
      <c r="C159">
        <f ca="1"/>
        <v>6.2600000000000003E-2</v>
      </c>
      <c r="D159">
        <f t="shared" ca="1" si="4"/>
        <v>5.2166666666666672E-3</v>
      </c>
      <c r="E159" s="1">
        <f ca="1"/>
        <v>2E-3</v>
      </c>
      <c r="F159" s="1">
        <f t="shared" ca="1" si="5"/>
        <v>3.2166666666666672E-3</v>
      </c>
    </row>
    <row r="160" spans="1:6" x14ac:dyDescent="0.25">
      <c r="A160" t="str">
        <v>1993-03-31</v>
      </c>
      <c r="B160">
        <f ca="1"/>
        <v>2.7199999999999998E-2</v>
      </c>
      <c r="C160">
        <f ca="1"/>
        <v>5.9799999999999999E-2</v>
      </c>
      <c r="D160">
        <f t="shared" ca="1" si="4"/>
        <v>4.9833333333333335E-3</v>
      </c>
      <c r="E160" s="1">
        <f ca="1"/>
        <v>1E-3</v>
      </c>
      <c r="F160" s="1">
        <f t="shared" ca="1" si="5"/>
        <v>3.9833333333333335E-3</v>
      </c>
    </row>
    <row r="161" spans="1:6" x14ac:dyDescent="0.25">
      <c r="A161" t="str">
        <v>1993-04-30</v>
      </c>
      <c r="B161">
        <f ca="1"/>
        <v>2.7799999999999998E-2</v>
      </c>
      <c r="C161">
        <f ca="1"/>
        <v>5.9700000000000003E-2</v>
      </c>
      <c r="D161">
        <f t="shared" ca="1" si="4"/>
        <v>4.9750000000000003E-3</v>
      </c>
      <c r="E161" s="1">
        <f ca="1"/>
        <v>3.0000000000000001E-3</v>
      </c>
      <c r="F161" s="1">
        <f t="shared" ca="1" si="5"/>
        <v>1.9750000000000002E-3</v>
      </c>
    </row>
    <row r="162" spans="1:6" x14ac:dyDescent="0.25">
      <c r="A162" t="str">
        <v>1993-05-31</v>
      </c>
      <c r="B162">
        <f ca="1"/>
        <v>2.6499999999999999E-2</v>
      </c>
      <c r="C162">
        <f ca="1"/>
        <v>6.0400000000000002E-2</v>
      </c>
      <c r="D162">
        <f t="shared" ca="1" si="4"/>
        <v>5.0333333333333332E-3</v>
      </c>
      <c r="E162" s="1">
        <f ca="1"/>
        <v>3.0000000000000001E-3</v>
      </c>
      <c r="F162" s="1">
        <f t="shared" ca="1" si="5"/>
        <v>2.0333333333333332E-3</v>
      </c>
    </row>
    <row r="163" spans="1:6" x14ac:dyDescent="0.25">
      <c r="A163" t="str">
        <v>1993-06-30</v>
      </c>
      <c r="B163">
        <f ca="1"/>
        <v>2.69E-2</v>
      </c>
      <c r="C163">
        <f ca="1"/>
        <v>5.96E-2</v>
      </c>
      <c r="D163">
        <f t="shared" ca="1" si="4"/>
        <v>4.966666666666667E-3</v>
      </c>
      <c r="E163" s="1">
        <f ca="1"/>
        <v>1E-3</v>
      </c>
      <c r="F163" s="1">
        <f t="shared" ca="1" si="5"/>
        <v>3.966666666666667E-3</v>
      </c>
    </row>
    <row r="164" spans="1:6" x14ac:dyDescent="0.25">
      <c r="A164" t="str">
        <v>1993-07-31</v>
      </c>
      <c r="B164">
        <f ca="1"/>
        <v>2.81E-2</v>
      </c>
      <c r="C164">
        <f ca="1"/>
        <v>5.8099999999999999E-2</v>
      </c>
      <c r="D164">
        <f t="shared" ca="1" si="4"/>
        <v>4.8416666666666669E-3</v>
      </c>
      <c r="E164" s="1">
        <f ca="1"/>
        <v>1E-3</v>
      </c>
      <c r="F164" s="1">
        <f t="shared" ca="1" si="5"/>
        <v>3.8416666666666668E-3</v>
      </c>
    </row>
    <row r="165" spans="1:6" x14ac:dyDescent="0.25">
      <c r="A165" t="str">
        <v>1993-08-31</v>
      </c>
      <c r="B165">
        <f ca="1"/>
        <v>2.8799999999999999E-2</v>
      </c>
      <c r="C165">
        <f ca="1"/>
        <v>5.6800000000000003E-2</v>
      </c>
      <c r="D165">
        <f t="shared" ca="1" si="4"/>
        <v>4.7333333333333333E-3</v>
      </c>
      <c r="E165" s="1">
        <f ca="1"/>
        <v>2E-3</v>
      </c>
      <c r="F165" s="1">
        <f t="shared" ca="1" si="5"/>
        <v>2.7333333333333333E-3</v>
      </c>
    </row>
    <row r="166" spans="1:6" x14ac:dyDescent="0.25">
      <c r="A166" t="str">
        <v>1993-09-30</v>
      </c>
      <c r="B166">
        <f ca="1"/>
        <v>3.1199999999999999E-2</v>
      </c>
      <c r="C166">
        <f ca="1"/>
        <v>5.3600000000000002E-2</v>
      </c>
      <c r="D166">
        <f t="shared" ca="1" si="4"/>
        <v>4.4666666666666665E-3</v>
      </c>
      <c r="E166" s="1">
        <f ca="1"/>
        <v>1E-3</v>
      </c>
      <c r="F166" s="1">
        <f t="shared" ca="1" si="5"/>
        <v>3.4666666666666665E-3</v>
      </c>
    </row>
    <row r="167" spans="1:6" x14ac:dyDescent="0.25">
      <c r="A167" t="str">
        <v>1993-10-31</v>
      </c>
      <c r="B167">
        <f ca="1"/>
        <v>3.1399999999999997E-2</v>
      </c>
      <c r="C167">
        <f ca="1"/>
        <v>5.33E-2</v>
      </c>
      <c r="D167">
        <f t="shared" ca="1" si="4"/>
        <v>4.4416666666666667E-3</v>
      </c>
      <c r="E167" s="1">
        <f ca="1"/>
        <v>4.0000000000000001E-3</v>
      </c>
      <c r="F167" s="1">
        <f t="shared" ca="1" si="5"/>
        <v>4.416666666666666E-4</v>
      </c>
    </row>
    <row r="168" spans="1:6" x14ac:dyDescent="0.25">
      <c r="A168" t="str">
        <v>1993-11-30</v>
      </c>
      <c r="B168">
        <f ca="1"/>
        <v>2.75E-2</v>
      </c>
      <c r="C168">
        <f ca="1"/>
        <v>5.7200000000000001E-2</v>
      </c>
      <c r="D168">
        <f t="shared" ca="1" si="4"/>
        <v>4.7666666666666664E-3</v>
      </c>
      <c r="E168" s="1">
        <f ca="1"/>
        <v>3.0000000000000001E-3</v>
      </c>
      <c r="F168" s="1">
        <f t="shared" ca="1" si="5"/>
        <v>1.7666666666666664E-3</v>
      </c>
    </row>
    <row r="169" spans="1:6" x14ac:dyDescent="0.25">
      <c r="A169" t="str">
        <v>1993-12-31</v>
      </c>
      <c r="B169">
        <f ca="1"/>
        <v>2.6599999999999999E-2</v>
      </c>
      <c r="C169">
        <f ca="1"/>
        <v>5.7700000000000001E-2</v>
      </c>
      <c r="D169">
        <f t="shared" ca="1" si="4"/>
        <v>4.8083333333333337E-3</v>
      </c>
      <c r="E169" s="1">
        <f ca="1"/>
        <v>2E-3</v>
      </c>
      <c r="F169" s="1">
        <f t="shared" ca="1" si="5"/>
        <v>2.8083333333333337E-3</v>
      </c>
    </row>
    <row r="170" spans="1:6" x14ac:dyDescent="0.25">
      <c r="A170" t="str">
        <v>1994-01-31</v>
      </c>
      <c r="B170">
        <f ca="1"/>
        <v>2.5999999999999999E-2</v>
      </c>
      <c r="C170">
        <f ca="1"/>
        <v>5.7500000000000002E-2</v>
      </c>
      <c r="D170">
        <f t="shared" ca="1" si="4"/>
        <v>4.7916666666666672E-3</v>
      </c>
      <c r="E170" s="1">
        <f ca="1"/>
        <v>0</v>
      </c>
      <c r="F170" s="1">
        <f t="shared" ca="1" si="5"/>
        <v>4.7916666666666672E-3</v>
      </c>
    </row>
    <row r="171" spans="1:6" x14ac:dyDescent="0.25">
      <c r="A171" t="str">
        <v>1994-02-28</v>
      </c>
      <c r="B171">
        <f ca="1"/>
        <v>2.3900000000000001E-2</v>
      </c>
      <c r="C171">
        <f ca="1"/>
        <v>5.9700000000000003E-2</v>
      </c>
      <c r="D171">
        <f t="shared" ca="1" si="4"/>
        <v>4.9750000000000003E-3</v>
      </c>
      <c r="E171" s="1">
        <f ca="1"/>
        <v>3.0000000000000001E-3</v>
      </c>
      <c r="F171" s="1">
        <f t="shared" ca="1" si="5"/>
        <v>1.9750000000000002E-3</v>
      </c>
    </row>
    <row r="172" spans="1:6" x14ac:dyDescent="0.25">
      <c r="A172" t="str">
        <v>1994-03-31</v>
      </c>
      <c r="B172">
        <f ca="1"/>
        <v>0.02</v>
      </c>
      <c r="C172">
        <f ca="1"/>
        <v>6.4799999999999996E-2</v>
      </c>
      <c r="D172">
        <f t="shared" ca="1" si="4"/>
        <v>5.3999999999999994E-3</v>
      </c>
      <c r="E172" s="1">
        <f ca="1"/>
        <v>3.0000000000000001E-3</v>
      </c>
      <c r="F172" s="1">
        <f t="shared" ca="1" si="5"/>
        <v>2.3999999999999994E-3</v>
      </c>
    </row>
    <row r="173" spans="1:6" x14ac:dyDescent="0.25">
      <c r="A173" t="str">
        <v>1994-04-30</v>
      </c>
      <c r="B173">
        <f ca="1"/>
        <v>1.66E-2</v>
      </c>
      <c r="C173">
        <f ca="1"/>
        <v>6.9699999999999998E-2</v>
      </c>
      <c r="D173">
        <f t="shared" ca="1" si="4"/>
        <v>5.8083333333333329E-3</v>
      </c>
      <c r="E173" s="1">
        <f ca="1"/>
        <v>1E-3</v>
      </c>
      <c r="F173" s="1">
        <f t="shared" ca="1" si="5"/>
        <v>4.8083333333333329E-3</v>
      </c>
    </row>
    <row r="174" spans="1:6" x14ac:dyDescent="0.25">
      <c r="A174" t="str">
        <v>1994-05-31</v>
      </c>
      <c r="B174">
        <f ca="1"/>
        <v>1.3899999999999999E-2</v>
      </c>
      <c r="C174">
        <f ca="1"/>
        <v>7.1800000000000003E-2</v>
      </c>
      <c r="D174">
        <f t="shared" ca="1" si="4"/>
        <v>5.9833333333333336E-3</v>
      </c>
      <c r="E174" s="1">
        <f ca="1"/>
        <v>2E-3</v>
      </c>
      <c r="F174" s="1">
        <f t="shared" ca="1" si="5"/>
        <v>3.9833333333333335E-3</v>
      </c>
    </row>
    <row r="175" spans="1:6" x14ac:dyDescent="0.25">
      <c r="A175" t="str">
        <v>1994-06-30</v>
      </c>
      <c r="B175">
        <f ca="1"/>
        <v>1.4500000000000001E-2</v>
      </c>
      <c r="C175">
        <f ca="1"/>
        <v>7.0999999999999994E-2</v>
      </c>
      <c r="D175">
        <f t="shared" ca="1" si="4"/>
        <v>5.9166666666666664E-3</v>
      </c>
      <c r="E175" s="1">
        <f ca="1"/>
        <v>3.0000000000000001E-3</v>
      </c>
      <c r="F175" s="1">
        <f t="shared" ca="1" si="5"/>
        <v>2.9166666666666664E-3</v>
      </c>
    </row>
    <row r="176" spans="1:6" x14ac:dyDescent="0.25">
      <c r="A176" t="str">
        <v>1994-07-31</v>
      </c>
      <c r="B176">
        <f ca="1"/>
        <v>1.29E-2</v>
      </c>
      <c r="C176">
        <f ca="1"/>
        <v>7.2999999999999995E-2</v>
      </c>
      <c r="D176">
        <f t="shared" ca="1" si="4"/>
        <v>6.083333333333333E-3</v>
      </c>
      <c r="E176" s="1">
        <f ca="1"/>
        <v>3.0000000000000001E-3</v>
      </c>
      <c r="F176" s="1">
        <f t="shared" ca="1" si="5"/>
        <v>3.0833333333333329E-3</v>
      </c>
    </row>
    <row r="177" spans="1:6" x14ac:dyDescent="0.25">
      <c r="A177" t="str">
        <v>1994-08-31</v>
      </c>
      <c r="B177">
        <f ca="1"/>
        <v>1.24E-2</v>
      </c>
      <c r="C177">
        <f ca="1"/>
        <v>7.2400000000000006E-2</v>
      </c>
      <c r="D177">
        <f t="shared" ca="1" si="4"/>
        <v>6.0333333333333341E-3</v>
      </c>
      <c r="E177" s="1">
        <f ca="1"/>
        <v>4.0000000000000001E-3</v>
      </c>
      <c r="F177" s="1">
        <f t="shared" ca="1" si="5"/>
        <v>2.033333333333334E-3</v>
      </c>
    </row>
    <row r="178" spans="1:6" x14ac:dyDescent="0.25">
      <c r="A178" t="str">
        <v>1994-09-30</v>
      </c>
      <c r="B178">
        <f ca="1"/>
        <v>9.9000000000000008E-3</v>
      </c>
      <c r="C178">
        <f ca="1"/>
        <v>7.46E-2</v>
      </c>
      <c r="D178">
        <f t="shared" ca="1" si="4"/>
        <v>6.2166666666666663E-3</v>
      </c>
      <c r="E178" s="1">
        <f ca="1"/>
        <v>2E-3</v>
      </c>
      <c r="F178" s="1">
        <f t="shared" ca="1" si="5"/>
        <v>4.2166666666666663E-3</v>
      </c>
    </row>
    <row r="179" spans="1:6" x14ac:dyDescent="0.25">
      <c r="A179" t="str">
        <v>1994-10-31</v>
      </c>
      <c r="B179">
        <f ca="1"/>
        <v>7.3000000000000001E-3</v>
      </c>
      <c r="C179">
        <f ca="1"/>
        <v>7.7399999999999997E-2</v>
      </c>
      <c r="D179">
        <f t="shared" ca="1" si="4"/>
        <v>6.45E-3</v>
      </c>
      <c r="E179" s="1">
        <f ca="1"/>
        <v>1E-3</v>
      </c>
      <c r="F179" s="1">
        <f t="shared" ca="1" si="5"/>
        <v>5.45E-3</v>
      </c>
    </row>
    <row r="180" spans="1:6" x14ac:dyDescent="0.25">
      <c r="A180" t="str">
        <v>1994-11-30</v>
      </c>
      <c r="B180">
        <f ca="1"/>
        <v>5.7000000000000002E-3</v>
      </c>
      <c r="C180">
        <f ca="1"/>
        <v>7.9600000000000004E-2</v>
      </c>
      <c r="D180">
        <f t="shared" ca="1" si="4"/>
        <v>6.633333333333334E-3</v>
      </c>
      <c r="E180" s="1">
        <f ca="1"/>
        <v>3.0000000000000001E-3</v>
      </c>
      <c r="F180" s="1">
        <f t="shared" ca="1" si="5"/>
        <v>3.6333333333333339E-3</v>
      </c>
    </row>
    <row r="181" spans="1:6" x14ac:dyDescent="0.25">
      <c r="A181" t="str">
        <v>1994-12-31</v>
      </c>
      <c r="B181">
        <f ca="1"/>
        <v>7.9000000000000008E-3</v>
      </c>
      <c r="C181">
        <f ca="1"/>
        <v>7.8100000000000003E-2</v>
      </c>
      <c r="D181">
        <f t="shared" ca="1" si="4"/>
        <v>6.5083333333333339E-3</v>
      </c>
      <c r="E181" s="1">
        <f ca="1"/>
        <v>2E-3</v>
      </c>
      <c r="F181" s="1">
        <f t="shared" ca="1" si="5"/>
        <v>4.5083333333333338E-3</v>
      </c>
    </row>
    <row r="182" spans="1:6" x14ac:dyDescent="0.25">
      <c r="A182" t="str">
        <v>1995-01-31</v>
      </c>
      <c r="B182">
        <f ca="1"/>
        <v>7.7000000000000002E-3</v>
      </c>
      <c r="C182">
        <f ca="1"/>
        <v>7.7799999999999994E-2</v>
      </c>
      <c r="D182">
        <f t="shared" ca="1" si="4"/>
        <v>6.4833333333333331E-3</v>
      </c>
      <c r="E182" s="1">
        <f ca="1"/>
        <v>3.0000000000000001E-3</v>
      </c>
      <c r="F182" s="1">
        <f t="shared" ca="1" si="5"/>
        <v>3.4833333333333331E-3</v>
      </c>
    </row>
    <row r="183" spans="1:6" x14ac:dyDescent="0.25">
      <c r="A183" t="str">
        <v>1995-02-28</v>
      </c>
      <c r="B183">
        <f ca="1"/>
        <v>9.2999999999999992E-3</v>
      </c>
      <c r="C183">
        <f ca="1"/>
        <v>7.4700000000000003E-2</v>
      </c>
      <c r="D183">
        <f t="shared" ca="1" si="4"/>
        <v>6.2250000000000005E-3</v>
      </c>
      <c r="E183" s="1">
        <f ca="1"/>
        <v>3.0000000000000001E-3</v>
      </c>
      <c r="F183" s="1">
        <f t="shared" ca="1" si="5"/>
        <v>3.2250000000000004E-3</v>
      </c>
    </row>
    <row r="184" spans="1:6" x14ac:dyDescent="0.25">
      <c r="A184" t="str">
        <v>1995-03-31</v>
      </c>
      <c r="B184">
        <f ca="1"/>
        <v>1.12E-2</v>
      </c>
      <c r="C184">
        <f ca="1"/>
        <v>7.1999999999999995E-2</v>
      </c>
      <c r="D184">
        <f t="shared" ca="1" si="4"/>
        <v>5.9999999999999993E-3</v>
      </c>
      <c r="E184" s="1">
        <f ca="1"/>
        <v>2E-3</v>
      </c>
      <c r="F184" s="1">
        <f t="shared" ca="1" si="5"/>
        <v>3.9999999999999992E-3</v>
      </c>
    </row>
    <row r="185" spans="1:6" x14ac:dyDescent="0.25">
      <c r="A185" t="str">
        <v>1995-04-30</v>
      </c>
      <c r="B185">
        <f ca="1"/>
        <v>1.14E-2</v>
      </c>
      <c r="C185">
        <f ca="1"/>
        <v>7.0599999999999996E-2</v>
      </c>
      <c r="D185">
        <f t="shared" ca="1" si="4"/>
        <v>5.8833333333333333E-3</v>
      </c>
      <c r="E185" s="1">
        <f ca="1"/>
        <v>4.0000000000000001E-3</v>
      </c>
      <c r="F185" s="1">
        <f t="shared" ca="1" si="5"/>
        <v>1.8833333333333332E-3</v>
      </c>
    </row>
    <row r="186" spans="1:6" x14ac:dyDescent="0.25">
      <c r="A186" t="str">
        <v>1995-05-31</v>
      </c>
      <c r="B186">
        <f ca="1"/>
        <v>1.43E-2</v>
      </c>
      <c r="C186">
        <f ca="1"/>
        <v>6.6299999999999998E-2</v>
      </c>
      <c r="D186">
        <f t="shared" ca="1" si="4"/>
        <v>5.5249999999999995E-3</v>
      </c>
      <c r="E186" s="1">
        <f ca="1"/>
        <v>2E-3</v>
      </c>
      <c r="F186" s="1">
        <f t="shared" ca="1" si="5"/>
        <v>3.5249999999999995E-3</v>
      </c>
    </row>
    <row r="187" spans="1:6" x14ac:dyDescent="0.25">
      <c r="A187" t="str">
        <v>1995-06-30</v>
      </c>
      <c r="B187">
        <f ca="1"/>
        <v>1.78E-2</v>
      </c>
      <c r="C187">
        <f ca="1"/>
        <v>6.1699999999999998E-2</v>
      </c>
      <c r="D187">
        <f t="shared" ca="1" si="4"/>
        <v>5.1416666666666668E-3</v>
      </c>
      <c r="E187" s="1">
        <f ca="1"/>
        <v>2E-3</v>
      </c>
      <c r="F187" s="1">
        <f t="shared" ca="1" si="5"/>
        <v>3.1416666666666667E-3</v>
      </c>
    </row>
    <row r="188" spans="1:6" x14ac:dyDescent="0.25">
      <c r="A188" t="str">
        <v>1995-07-31</v>
      </c>
      <c r="B188">
        <f ca="1"/>
        <v>1.5299999999999999E-2</v>
      </c>
      <c r="C188">
        <f ca="1"/>
        <v>6.2799999999999995E-2</v>
      </c>
      <c r="D188">
        <f t="shared" ca="1" si="4"/>
        <v>5.2333333333333329E-3</v>
      </c>
      <c r="E188" s="1">
        <f ca="1"/>
        <v>1E-3</v>
      </c>
      <c r="F188" s="1">
        <f t="shared" ca="1" si="5"/>
        <v>4.2333333333333329E-3</v>
      </c>
    </row>
    <row r="189" spans="1:6" x14ac:dyDescent="0.25">
      <c r="A189" t="str">
        <v>1995-08-31</v>
      </c>
      <c r="B189">
        <f ca="1"/>
        <v>1.34E-2</v>
      </c>
      <c r="C189">
        <f ca="1"/>
        <v>6.4899999999999999E-2</v>
      </c>
      <c r="D189">
        <f t="shared" ca="1" si="4"/>
        <v>5.4083333333333336E-3</v>
      </c>
      <c r="E189" s="1">
        <f ca="1"/>
        <v>2E-3</v>
      </c>
      <c r="F189" s="1">
        <f t="shared" ca="1" si="5"/>
        <v>3.4083333333333335E-3</v>
      </c>
    </row>
    <row r="190" spans="1:6" x14ac:dyDescent="0.25">
      <c r="A190" t="str">
        <v>1995-09-30</v>
      </c>
      <c r="B190">
        <f ca="1"/>
        <v>1.5100000000000001E-2</v>
      </c>
      <c r="C190">
        <f ca="1"/>
        <v>6.2E-2</v>
      </c>
      <c r="D190">
        <f t="shared" ca="1" si="4"/>
        <v>5.1666666666666666E-3</v>
      </c>
      <c r="E190" s="1">
        <f ca="1"/>
        <v>1E-3</v>
      </c>
      <c r="F190" s="1">
        <f t="shared" ca="1" si="5"/>
        <v>4.1666666666666666E-3</v>
      </c>
    </row>
    <row r="191" spans="1:6" x14ac:dyDescent="0.25">
      <c r="A191" t="str">
        <v>1995-10-31</v>
      </c>
      <c r="B191">
        <f ca="1"/>
        <v>1.66E-2</v>
      </c>
      <c r="C191">
        <f ca="1"/>
        <v>6.0400000000000002E-2</v>
      </c>
      <c r="D191">
        <f t="shared" ca="1" si="4"/>
        <v>5.0333333333333332E-3</v>
      </c>
      <c r="E191" s="1">
        <f ca="1"/>
        <v>3.0000000000000001E-3</v>
      </c>
      <c r="F191" s="1">
        <f t="shared" ca="1" si="5"/>
        <v>2.0333333333333332E-3</v>
      </c>
    </row>
    <row r="192" spans="1:6" x14ac:dyDescent="0.25">
      <c r="A192" t="str">
        <v>1995-11-30</v>
      </c>
      <c r="B192">
        <f ca="1"/>
        <v>1.67E-2</v>
      </c>
      <c r="C192">
        <f ca="1"/>
        <v>5.9299999999999999E-2</v>
      </c>
      <c r="D192">
        <f t="shared" ca="1" si="4"/>
        <v>4.9416666666666663E-3</v>
      </c>
      <c r="E192" s="1">
        <f ca="1"/>
        <v>1E-3</v>
      </c>
      <c r="F192" s="1">
        <f t="shared" ca="1" si="5"/>
        <v>3.9416666666666662E-3</v>
      </c>
    </row>
    <row r="193" spans="1:6" x14ac:dyDescent="0.25">
      <c r="A193" t="str">
        <v>1995-12-31</v>
      </c>
      <c r="B193">
        <f ca="1"/>
        <v>1.7399999999999999E-2</v>
      </c>
      <c r="C193">
        <f ca="1"/>
        <v>5.7099999999999998E-2</v>
      </c>
      <c r="D193">
        <f t="shared" ca="1" si="4"/>
        <v>4.7583333333333332E-3</v>
      </c>
      <c r="E193" s="1">
        <f ca="1"/>
        <v>1E-3</v>
      </c>
      <c r="F193" s="1">
        <f t="shared" ca="1" si="5"/>
        <v>3.7583333333333331E-3</v>
      </c>
    </row>
    <row r="194" spans="1:6" x14ac:dyDescent="0.25">
      <c r="A194" t="str">
        <v>1996-01-31</v>
      </c>
      <c r="B194">
        <f ca="1"/>
        <v>1.8700000000000001E-2</v>
      </c>
      <c r="C194">
        <f ca="1"/>
        <v>5.6500000000000002E-2</v>
      </c>
      <c r="D194">
        <f t="shared" ca="1" si="4"/>
        <v>4.7083333333333335E-3</v>
      </c>
      <c r="E194" s="1">
        <f ca="1"/>
        <v>5.0000000000000001E-3</v>
      </c>
      <c r="F194" s="1">
        <f t="shared" ca="1" si="5"/>
        <v>-2.9166666666666664E-4</v>
      </c>
    </row>
    <row r="195" spans="1:6" x14ac:dyDescent="0.25">
      <c r="A195" t="str">
        <v>1996-02-29</v>
      </c>
      <c r="B195">
        <f ca="1"/>
        <v>1.5900000000000001E-2</v>
      </c>
      <c r="C195">
        <f ca="1"/>
        <v>5.8099999999999999E-2</v>
      </c>
      <c r="D195">
        <f t="shared" ref="D195:D258" ca="1" si="6">C195/12</f>
        <v>4.8416666666666669E-3</v>
      </c>
      <c r="E195" s="1">
        <f ca="1"/>
        <v>2E-3</v>
      </c>
      <c r="F195" s="1">
        <f t="shared" ref="F195:F258" ca="1" si="7">D195-E195</f>
        <v>2.8416666666666668E-3</v>
      </c>
    </row>
    <row r="196" spans="1:6" x14ac:dyDescent="0.25">
      <c r="A196" t="str">
        <v>1996-03-31</v>
      </c>
      <c r="B196">
        <f ca="1"/>
        <v>1.2800000000000001E-2</v>
      </c>
      <c r="C196">
        <f ca="1"/>
        <v>6.2700000000000006E-2</v>
      </c>
      <c r="D196">
        <f t="shared" ca="1" si="6"/>
        <v>5.2250000000000005E-3</v>
      </c>
      <c r="E196" s="1">
        <f ca="1"/>
        <v>3.0000000000000001E-3</v>
      </c>
      <c r="F196" s="1">
        <f t="shared" ca="1" si="7"/>
        <v>2.2250000000000004E-3</v>
      </c>
    </row>
    <row r="197" spans="1:6" x14ac:dyDescent="0.25">
      <c r="A197" t="str">
        <v>1996-04-30</v>
      </c>
      <c r="B197">
        <f ca="1"/>
        <v>1.1299999999999999E-2</v>
      </c>
      <c r="C197">
        <f ca="1"/>
        <v>6.5100000000000005E-2</v>
      </c>
      <c r="D197">
        <f t="shared" ca="1" si="6"/>
        <v>5.4250000000000001E-3</v>
      </c>
      <c r="E197" s="1">
        <f ca="1"/>
        <v>4.0000000000000001E-3</v>
      </c>
      <c r="F197" s="1">
        <f t="shared" ca="1" si="7"/>
        <v>1.4250000000000001E-3</v>
      </c>
    </row>
    <row r="198" spans="1:6" x14ac:dyDescent="0.25">
      <c r="A198" t="str">
        <v>1996-05-31</v>
      </c>
      <c r="B198">
        <f ca="1"/>
        <v>8.3000000000000001E-3</v>
      </c>
      <c r="C198">
        <f ca="1"/>
        <v>6.7400000000000002E-2</v>
      </c>
      <c r="D198">
        <f t="shared" ca="1" si="6"/>
        <v>5.6166666666666665E-3</v>
      </c>
      <c r="E198" s="1">
        <f ca="1"/>
        <v>2E-3</v>
      </c>
      <c r="F198" s="1">
        <f t="shared" ca="1" si="7"/>
        <v>3.6166666666666665E-3</v>
      </c>
    </row>
    <row r="199" spans="1:6" x14ac:dyDescent="0.25">
      <c r="A199" t="str">
        <v>1996-06-30</v>
      </c>
      <c r="B199">
        <f ca="1"/>
        <v>5.8999999999999999E-3</v>
      </c>
      <c r="C199">
        <f ca="1"/>
        <v>6.9099999999999995E-2</v>
      </c>
      <c r="D199">
        <f t="shared" ca="1" si="6"/>
        <v>5.7583333333333332E-3</v>
      </c>
      <c r="E199" s="1">
        <f ca="1"/>
        <v>2E-3</v>
      </c>
      <c r="F199" s="1">
        <f t="shared" ca="1" si="7"/>
        <v>3.7583333333333331E-3</v>
      </c>
    </row>
    <row r="200" spans="1:6" x14ac:dyDescent="0.25">
      <c r="A200" t="str">
        <v>1996-07-31</v>
      </c>
      <c r="B200">
        <f ca="1"/>
        <v>8.2000000000000007E-3</v>
      </c>
      <c r="C200">
        <f ca="1"/>
        <v>6.8699999999999997E-2</v>
      </c>
      <c r="D200">
        <f t="shared" ca="1" si="6"/>
        <v>5.7250000000000001E-3</v>
      </c>
      <c r="E200" s="1">
        <f ca="1"/>
        <v>2E-3</v>
      </c>
      <c r="F200" s="1">
        <f t="shared" ca="1" si="7"/>
        <v>3.725E-3</v>
      </c>
    </row>
    <row r="201" spans="1:6" x14ac:dyDescent="0.25">
      <c r="A201" t="str">
        <v>1996-08-31</v>
      </c>
      <c r="B201">
        <f ca="1"/>
        <v>9.5999999999999992E-3</v>
      </c>
      <c r="C201">
        <f ca="1"/>
        <v>6.6400000000000001E-2</v>
      </c>
      <c r="D201">
        <f t="shared" ca="1" si="6"/>
        <v>5.5333333333333337E-3</v>
      </c>
      <c r="E201" s="1">
        <f ca="1"/>
        <v>1E-3</v>
      </c>
      <c r="F201" s="1">
        <f t="shared" ca="1" si="7"/>
        <v>4.5333333333333337E-3</v>
      </c>
    </row>
    <row r="202" spans="1:6" x14ac:dyDescent="0.25">
      <c r="A202" t="str">
        <v>1996-09-30</v>
      </c>
      <c r="B202">
        <f ca="1"/>
        <v>7.1999999999999998E-3</v>
      </c>
      <c r="C202">
        <f ca="1"/>
        <v>6.83E-2</v>
      </c>
      <c r="D202">
        <f t="shared" ca="1" si="6"/>
        <v>5.6916666666666669E-3</v>
      </c>
      <c r="E202" s="1">
        <f ca="1"/>
        <v>3.0000000000000001E-3</v>
      </c>
      <c r="F202" s="1">
        <f t="shared" ca="1" si="7"/>
        <v>2.6916666666666669E-3</v>
      </c>
    </row>
    <row r="203" spans="1:6" x14ac:dyDescent="0.25">
      <c r="A203" t="str">
        <v>1996-10-31</v>
      </c>
      <c r="B203">
        <f ca="1"/>
        <v>9.1999999999999998E-3</v>
      </c>
      <c r="C203">
        <f ca="1"/>
        <v>6.5299999999999997E-2</v>
      </c>
      <c r="D203">
        <f t="shared" ca="1" si="6"/>
        <v>5.4416666666666667E-3</v>
      </c>
      <c r="E203" s="1">
        <f ca="1"/>
        <v>3.0000000000000001E-3</v>
      </c>
      <c r="F203" s="1">
        <f t="shared" ca="1" si="7"/>
        <v>2.4416666666666666E-3</v>
      </c>
    </row>
    <row r="204" spans="1:6" x14ac:dyDescent="0.25">
      <c r="A204" t="str">
        <v>1996-11-30</v>
      </c>
      <c r="B204">
        <f ca="1"/>
        <v>1.11E-2</v>
      </c>
      <c r="C204">
        <f ca="1"/>
        <v>6.2E-2</v>
      </c>
      <c r="D204">
        <f t="shared" ca="1" si="6"/>
        <v>5.1666666666666666E-3</v>
      </c>
      <c r="E204" s="1">
        <f ca="1"/>
        <v>3.0000000000000001E-3</v>
      </c>
      <c r="F204" s="1">
        <f t="shared" ca="1" si="7"/>
        <v>2.1666666666666666E-3</v>
      </c>
    </row>
    <row r="205" spans="1:6" x14ac:dyDescent="0.25">
      <c r="A205" t="str">
        <v>1996-12-31</v>
      </c>
      <c r="B205">
        <f ca="1"/>
        <v>9.9000000000000008E-3</v>
      </c>
      <c r="C205">
        <f ca="1"/>
        <v>6.3E-2</v>
      </c>
      <c r="D205">
        <f t="shared" ca="1" si="6"/>
        <v>5.2500000000000003E-3</v>
      </c>
      <c r="E205" s="1">
        <f ca="1"/>
        <v>3.0000000000000001E-3</v>
      </c>
      <c r="F205" s="1">
        <f t="shared" ca="1" si="7"/>
        <v>2.2500000000000003E-3</v>
      </c>
    </row>
    <row r="206" spans="1:6" x14ac:dyDescent="0.25">
      <c r="A206" t="str">
        <v>1997-01-31</v>
      </c>
      <c r="B206">
        <f ca="1"/>
        <v>6.0000000000000001E-3</v>
      </c>
      <c r="C206">
        <f ca="1"/>
        <v>6.5799999999999997E-2</v>
      </c>
      <c r="D206">
        <f t="shared" ca="1" si="6"/>
        <v>5.4833333333333331E-3</v>
      </c>
      <c r="E206" s="1">
        <f ca="1"/>
        <v>2E-3</v>
      </c>
      <c r="F206" s="1">
        <f t="shared" ca="1" si="7"/>
        <v>3.4833333333333331E-3</v>
      </c>
    </row>
    <row r="207" spans="1:6" x14ac:dyDescent="0.25">
      <c r="A207" t="str">
        <v>1997-02-28</v>
      </c>
      <c r="B207">
        <f ca="1"/>
        <v>6.4000000000000003E-3</v>
      </c>
      <c r="C207">
        <f ca="1"/>
        <v>6.4199999999999993E-2</v>
      </c>
      <c r="D207">
        <f t="shared" ca="1" si="6"/>
        <v>5.3499999999999997E-3</v>
      </c>
      <c r="E207" s="1">
        <f ca="1"/>
        <v>2E-3</v>
      </c>
      <c r="F207" s="1">
        <f t="shared" ca="1" si="7"/>
        <v>3.3499999999999997E-3</v>
      </c>
    </row>
    <row r="208" spans="1:6" x14ac:dyDescent="0.25">
      <c r="A208" t="str">
        <v>1997-03-31</v>
      </c>
      <c r="B208">
        <f ca="1"/>
        <v>4.0000000000000001E-3</v>
      </c>
      <c r="C208">
        <f ca="1"/>
        <v>6.6900000000000001E-2</v>
      </c>
      <c r="D208">
        <f t="shared" ca="1" si="6"/>
        <v>5.5750000000000001E-3</v>
      </c>
      <c r="E208" s="1">
        <f ca="1"/>
        <v>1E-3</v>
      </c>
      <c r="F208" s="1">
        <f t="shared" ca="1" si="7"/>
        <v>4.5750000000000001E-3</v>
      </c>
    </row>
    <row r="209" spans="1:6" x14ac:dyDescent="0.25">
      <c r="A209" t="str">
        <v>1997-04-30</v>
      </c>
      <c r="B209">
        <f ca="1"/>
        <v>3.0999999999999999E-3</v>
      </c>
      <c r="C209">
        <f ca="1"/>
        <v>6.8900000000000003E-2</v>
      </c>
      <c r="D209">
        <f t="shared" ca="1" si="6"/>
        <v>5.7416666666666666E-3</v>
      </c>
      <c r="E209" s="1">
        <f ca="1"/>
        <v>1E-3</v>
      </c>
      <c r="F209" s="1">
        <f t="shared" ca="1" si="7"/>
        <v>4.7416666666666666E-3</v>
      </c>
    </row>
    <row r="210" spans="1:6" x14ac:dyDescent="0.25">
      <c r="A210" t="str">
        <v>1997-05-31</v>
      </c>
      <c r="B210">
        <f ca="1"/>
        <v>1.6999999999999999E-3</v>
      </c>
      <c r="C210">
        <f ca="1"/>
        <v>6.7100000000000007E-2</v>
      </c>
      <c r="D210">
        <f t="shared" ca="1" si="6"/>
        <v>5.5916666666666675E-3</v>
      </c>
      <c r="E210" s="1">
        <f ca="1"/>
        <v>0</v>
      </c>
      <c r="F210" s="1">
        <f t="shared" ca="1" si="7"/>
        <v>5.5916666666666675E-3</v>
      </c>
    </row>
    <row r="211" spans="1:6" x14ac:dyDescent="0.25">
      <c r="A211" t="str">
        <v>1997-06-30</v>
      </c>
      <c r="B211">
        <f ca="1"/>
        <v>2.2000000000000001E-3</v>
      </c>
      <c r="C211">
        <f ca="1"/>
        <v>6.4899999999999999E-2</v>
      </c>
      <c r="D211">
        <f t="shared" ca="1" si="6"/>
        <v>5.4083333333333336E-3</v>
      </c>
      <c r="E211" s="1">
        <f ca="1"/>
        <v>2E-3</v>
      </c>
      <c r="F211" s="1">
        <f t="shared" ca="1" si="7"/>
        <v>3.4083333333333335E-3</v>
      </c>
    </row>
    <row r="212" spans="1:6" x14ac:dyDescent="0.25">
      <c r="A212" t="str">
        <v>1997-07-31</v>
      </c>
      <c r="B212">
        <f ca="1"/>
        <v>3.3E-3</v>
      </c>
      <c r="C212">
        <f ca="1"/>
        <v>6.2199999999999998E-2</v>
      </c>
      <c r="D212">
        <f t="shared" ca="1" si="6"/>
        <v>5.1833333333333332E-3</v>
      </c>
      <c r="E212" s="1">
        <f ca="1"/>
        <v>1E-3</v>
      </c>
      <c r="F212" s="1">
        <f t="shared" ca="1" si="7"/>
        <v>4.1833333333333332E-3</v>
      </c>
    </row>
    <row r="213" spans="1:6" x14ac:dyDescent="0.25">
      <c r="A213" t="str">
        <v>1997-08-31</v>
      </c>
      <c r="B213">
        <f ca="1"/>
        <v>2.3E-3</v>
      </c>
      <c r="C213">
        <f ca="1"/>
        <v>6.3E-2</v>
      </c>
      <c r="D213">
        <f t="shared" ca="1" si="6"/>
        <v>5.2500000000000003E-3</v>
      </c>
      <c r="E213" s="1">
        <f ca="1"/>
        <v>2E-3</v>
      </c>
      <c r="F213" s="1">
        <f t="shared" ca="1" si="7"/>
        <v>3.2500000000000003E-3</v>
      </c>
    </row>
    <row r="214" spans="1:6" x14ac:dyDescent="0.25">
      <c r="A214" t="str">
        <v>1997-09-30</v>
      </c>
      <c r="B214">
        <f ca="1"/>
        <v>2.8999999999999998E-3</v>
      </c>
      <c r="C214">
        <f ca="1"/>
        <v>6.2100000000000002E-2</v>
      </c>
      <c r="D214">
        <f t="shared" ca="1" si="6"/>
        <v>5.1749999999999999E-3</v>
      </c>
      <c r="E214" s="1">
        <f ca="1"/>
        <v>2E-3</v>
      </c>
      <c r="F214" s="1">
        <f t="shared" ca="1" si="7"/>
        <v>3.1749999999999999E-3</v>
      </c>
    </row>
    <row r="215" spans="1:6" x14ac:dyDescent="0.25">
      <c r="A215" t="str">
        <v>1997-10-31</v>
      </c>
      <c r="B215">
        <f ca="1"/>
        <v>4.4000000000000003E-3</v>
      </c>
      <c r="C215">
        <f ca="1"/>
        <v>6.0299999999999999E-2</v>
      </c>
      <c r="D215">
        <f t="shared" ca="1" si="6"/>
        <v>5.025E-3</v>
      </c>
      <c r="E215" s="1">
        <f ca="1"/>
        <v>2E-3</v>
      </c>
      <c r="F215" s="1">
        <f t="shared" ca="1" si="7"/>
        <v>3.0249999999999999E-3</v>
      </c>
    </row>
    <row r="216" spans="1:6" x14ac:dyDescent="0.25">
      <c r="A216" t="str">
        <v>1997-11-30</v>
      </c>
      <c r="B216">
        <f ca="1"/>
        <v>6.3E-3</v>
      </c>
      <c r="C216">
        <f ca="1"/>
        <v>5.8799999999999998E-2</v>
      </c>
      <c r="D216">
        <f t="shared" ca="1" si="6"/>
        <v>4.8999999999999998E-3</v>
      </c>
      <c r="E216" s="1">
        <f ca="1"/>
        <v>1E-3</v>
      </c>
      <c r="F216" s="1">
        <f t="shared" ca="1" si="7"/>
        <v>3.8999999999999998E-3</v>
      </c>
    </row>
    <row r="217" spans="1:6" x14ac:dyDescent="0.25">
      <c r="A217" t="str">
        <v>1997-12-31</v>
      </c>
      <c r="B217">
        <f ca="1"/>
        <v>6.1999999999999998E-3</v>
      </c>
      <c r="C217">
        <f ca="1"/>
        <v>5.8099999999999999E-2</v>
      </c>
      <c r="D217">
        <f t="shared" ca="1" si="6"/>
        <v>4.8416666666666669E-3</v>
      </c>
      <c r="E217" s="1">
        <f ca="1"/>
        <v>1E-3</v>
      </c>
      <c r="F217" s="1">
        <f t="shared" ca="1" si="7"/>
        <v>3.8416666666666668E-3</v>
      </c>
    </row>
    <row r="218" spans="1:6" x14ac:dyDescent="0.25">
      <c r="A218" t="str">
        <v>1998-01-31</v>
      </c>
      <c r="B218">
        <f ca="1"/>
        <v>8.9999999999999993E-3</v>
      </c>
      <c r="C218">
        <f ca="1"/>
        <v>5.5399999999999998E-2</v>
      </c>
      <c r="D218">
        <f t="shared" ca="1" si="6"/>
        <v>4.6166666666666665E-3</v>
      </c>
      <c r="E218" s="1">
        <f ca="1"/>
        <v>1E-3</v>
      </c>
      <c r="F218" s="1">
        <f t="shared" ca="1" si="7"/>
        <v>3.6166666666666665E-3</v>
      </c>
    </row>
    <row r="219" spans="1:6" x14ac:dyDescent="0.25">
      <c r="A219" t="str">
        <v>1998-02-28</v>
      </c>
      <c r="B219">
        <f ca="1"/>
        <v>7.0000000000000001E-3</v>
      </c>
      <c r="C219">
        <f ca="1"/>
        <v>5.57E-2</v>
      </c>
      <c r="D219">
        <f t="shared" ca="1" si="6"/>
        <v>4.6416666666666663E-3</v>
      </c>
      <c r="E219" s="1">
        <f ca="1"/>
        <v>0</v>
      </c>
      <c r="F219" s="1">
        <f t="shared" ca="1" si="7"/>
        <v>4.6416666666666663E-3</v>
      </c>
    </row>
    <row r="220" spans="1:6" x14ac:dyDescent="0.25">
      <c r="A220" t="str">
        <v>1998-03-31</v>
      </c>
      <c r="B220">
        <f ca="1"/>
        <v>4.7000000000000002E-3</v>
      </c>
      <c r="C220">
        <f ca="1"/>
        <v>5.6500000000000002E-2</v>
      </c>
      <c r="D220">
        <f t="shared" ca="1" si="6"/>
        <v>4.7083333333333335E-3</v>
      </c>
      <c r="E220" s="1">
        <f ca="1"/>
        <v>0</v>
      </c>
      <c r="F220" s="1">
        <f t="shared" ca="1" si="7"/>
        <v>4.7083333333333335E-3</v>
      </c>
    </row>
    <row r="221" spans="1:6" x14ac:dyDescent="0.25">
      <c r="A221" t="str">
        <v>1998-04-30</v>
      </c>
      <c r="B221">
        <f ca="1"/>
        <v>3.7000000000000002E-3</v>
      </c>
      <c r="C221">
        <f ca="1"/>
        <v>5.6399999999999999E-2</v>
      </c>
      <c r="D221">
        <f t="shared" ca="1" si="6"/>
        <v>4.7000000000000002E-3</v>
      </c>
      <c r="E221" s="1">
        <f ca="1"/>
        <v>1E-3</v>
      </c>
      <c r="F221" s="1">
        <f t="shared" ca="1" si="7"/>
        <v>3.7000000000000002E-3</v>
      </c>
    </row>
    <row r="222" spans="1:6" x14ac:dyDescent="0.25">
      <c r="A222" t="str">
        <v>1998-05-31</v>
      </c>
      <c r="B222">
        <f ca="1"/>
        <v>3.7000000000000002E-3</v>
      </c>
      <c r="C222">
        <f ca="1"/>
        <v>5.6500000000000002E-2</v>
      </c>
      <c r="D222">
        <f t="shared" ca="1" si="6"/>
        <v>4.7083333333333335E-3</v>
      </c>
      <c r="E222" s="1">
        <f ca="1"/>
        <v>2E-3</v>
      </c>
      <c r="F222" s="1">
        <f t="shared" ca="1" si="7"/>
        <v>2.7083333333333334E-3</v>
      </c>
    </row>
    <row r="223" spans="1:6" x14ac:dyDescent="0.25">
      <c r="A223" t="str">
        <v>1998-06-30</v>
      </c>
      <c r="B223">
        <f ca="1"/>
        <v>5.0000000000000001E-3</v>
      </c>
      <c r="C223">
        <f ca="1"/>
        <v>5.5E-2</v>
      </c>
      <c r="D223">
        <f t="shared" ca="1" si="6"/>
        <v>4.5833333333333334E-3</v>
      </c>
      <c r="E223" s="1">
        <f ca="1"/>
        <v>1E-3</v>
      </c>
      <c r="F223" s="1">
        <f t="shared" ca="1" si="7"/>
        <v>3.5833333333333333E-3</v>
      </c>
    </row>
    <row r="224" spans="1:6" x14ac:dyDescent="0.25">
      <c r="A224" t="str">
        <v>1998-07-31</v>
      </c>
      <c r="B224">
        <f ca="1"/>
        <v>4.1000000000000003E-3</v>
      </c>
      <c r="C224">
        <f ca="1"/>
        <v>5.4600000000000003E-2</v>
      </c>
      <c r="D224">
        <f t="shared" ca="1" si="6"/>
        <v>4.5500000000000002E-3</v>
      </c>
      <c r="E224" s="1">
        <f ca="1"/>
        <v>2E-3</v>
      </c>
      <c r="F224" s="1">
        <f t="shared" ca="1" si="7"/>
        <v>2.5500000000000002E-3</v>
      </c>
    </row>
    <row r="225" spans="1:6" x14ac:dyDescent="0.25">
      <c r="A225" t="str">
        <v>1998-08-31</v>
      </c>
      <c r="B225">
        <f ca="1"/>
        <v>7.0000000000000001E-3</v>
      </c>
      <c r="C225">
        <f ca="1"/>
        <v>5.3400000000000003E-2</v>
      </c>
      <c r="D225">
        <f t="shared" ca="1" si="6"/>
        <v>4.45E-3</v>
      </c>
      <c r="E225" s="1">
        <f ca="1"/>
        <v>1E-3</v>
      </c>
      <c r="F225" s="1">
        <f t="shared" ca="1" si="7"/>
        <v>3.4499999999999999E-3</v>
      </c>
    </row>
    <row r="226" spans="1:6" x14ac:dyDescent="0.25">
      <c r="A226" t="str">
        <v>1998-09-30</v>
      </c>
      <c r="B226">
        <f ca="1"/>
        <v>1.34E-2</v>
      </c>
      <c r="C226">
        <f ca="1"/>
        <v>4.8099999999999997E-2</v>
      </c>
      <c r="D226">
        <f t="shared" ca="1" si="6"/>
        <v>4.0083333333333334E-3</v>
      </c>
      <c r="E226" s="1">
        <f ca="1"/>
        <v>1E-3</v>
      </c>
      <c r="F226" s="1">
        <f t="shared" ca="1" si="7"/>
        <v>3.0083333333333333E-3</v>
      </c>
    </row>
    <row r="227" spans="1:6" x14ac:dyDescent="0.25">
      <c r="A227" t="str">
        <v>1998-10-31</v>
      </c>
      <c r="B227">
        <f ca="1"/>
        <v>1.5900000000000001E-2</v>
      </c>
      <c r="C227">
        <f ca="1"/>
        <v>4.53E-2</v>
      </c>
      <c r="D227">
        <f t="shared" ca="1" si="6"/>
        <v>3.7750000000000001E-3</v>
      </c>
      <c r="E227" s="1">
        <f ca="1"/>
        <v>2E-3</v>
      </c>
      <c r="F227" s="1">
        <f t="shared" ca="1" si="7"/>
        <v>1.7750000000000001E-3</v>
      </c>
    </row>
    <row r="228" spans="1:6" x14ac:dyDescent="0.25">
      <c r="A228" t="str">
        <v>1998-11-30</v>
      </c>
      <c r="B228">
        <f ca="1"/>
        <v>9.9000000000000008E-3</v>
      </c>
      <c r="C228">
        <f ca="1"/>
        <v>4.8300000000000003E-2</v>
      </c>
      <c r="D228">
        <f t="shared" ca="1" si="6"/>
        <v>4.0249999999999999E-3</v>
      </c>
      <c r="E228" s="1">
        <f ca="1"/>
        <v>1E-3</v>
      </c>
      <c r="F228" s="1">
        <f t="shared" ca="1" si="7"/>
        <v>3.0249999999999999E-3</v>
      </c>
    </row>
    <row r="229" spans="1:6" x14ac:dyDescent="0.25">
      <c r="A229" t="str">
        <v>1998-12-31</v>
      </c>
      <c r="B229">
        <f ca="1"/>
        <v>1.0500000000000001E-2</v>
      </c>
      <c r="C229">
        <f ca="1"/>
        <v>4.65E-2</v>
      </c>
      <c r="D229">
        <f t="shared" ca="1" si="6"/>
        <v>3.875E-3</v>
      </c>
      <c r="E229" s="1">
        <f ca="1"/>
        <v>2E-3</v>
      </c>
      <c r="F229" s="1">
        <f t="shared" ca="1" si="7"/>
        <v>1.8749999999999999E-3</v>
      </c>
    </row>
    <row r="230" spans="1:6" x14ac:dyDescent="0.25">
      <c r="A230" t="str">
        <v>1999-01-31</v>
      </c>
      <c r="B230">
        <f ca="1"/>
        <v>8.3999999999999995E-3</v>
      </c>
      <c r="C230">
        <f ca="1"/>
        <v>4.7199999999999999E-2</v>
      </c>
      <c r="D230">
        <f t="shared" ca="1" si="6"/>
        <v>3.933333333333333E-3</v>
      </c>
      <c r="E230" s="1">
        <f ca="1"/>
        <v>2E-3</v>
      </c>
      <c r="F230" s="1">
        <f t="shared" ca="1" si="7"/>
        <v>1.9333333333333329E-3</v>
      </c>
    </row>
    <row r="231" spans="1:6" x14ac:dyDescent="0.25">
      <c r="A231" t="str">
        <v>1999-02-28</v>
      </c>
      <c r="B231">
        <f ca="1"/>
        <v>5.4000000000000003E-3</v>
      </c>
      <c r="C231">
        <f ca="1"/>
        <v>0.05</v>
      </c>
      <c r="D231">
        <f t="shared" ca="1" si="6"/>
        <v>4.1666666666666666E-3</v>
      </c>
      <c r="E231" s="1">
        <f ca="1"/>
        <v>0</v>
      </c>
      <c r="F231" s="1">
        <f t="shared" ca="1" si="7"/>
        <v>4.1666666666666666E-3</v>
      </c>
    </row>
    <row r="232" spans="1:6" x14ac:dyDescent="0.25">
      <c r="A232" t="str">
        <v>1999-03-31</v>
      </c>
      <c r="B232">
        <f ca="1"/>
        <v>2.3E-3</v>
      </c>
      <c r="C232">
        <f ca="1"/>
        <v>5.2299999999999999E-2</v>
      </c>
      <c r="D232">
        <f t="shared" ca="1" si="6"/>
        <v>4.358333333333333E-3</v>
      </c>
      <c r="E232" s="1">
        <f ca="1"/>
        <v>1E-3</v>
      </c>
      <c r="F232" s="1">
        <f t="shared" ca="1" si="7"/>
        <v>3.358333333333333E-3</v>
      </c>
    </row>
    <row r="233" spans="1:6" x14ac:dyDescent="0.25">
      <c r="A233" t="str">
        <v>1999-04-30</v>
      </c>
      <c r="B233">
        <f ca="1"/>
        <v>2.0999999999999999E-3</v>
      </c>
      <c r="C233">
        <f ca="1"/>
        <v>5.1799999999999999E-2</v>
      </c>
      <c r="D233">
        <f t="shared" ca="1" si="6"/>
        <v>4.3166666666666666E-3</v>
      </c>
      <c r="E233" s="1">
        <f ca="1"/>
        <v>7.0000000000000001E-3</v>
      </c>
      <c r="F233" s="1">
        <f t="shared" ca="1" si="7"/>
        <v>-2.6833333333333336E-3</v>
      </c>
    </row>
    <row r="234" spans="1:6" x14ac:dyDescent="0.25">
      <c r="A234" t="str">
        <v>1999-05-31</v>
      </c>
      <c r="B234">
        <f ca="1"/>
        <v>-2E-3</v>
      </c>
      <c r="C234">
        <f ca="1"/>
        <v>5.5399999999999998E-2</v>
      </c>
      <c r="D234">
        <f t="shared" ca="1" si="6"/>
        <v>4.6166666666666665E-3</v>
      </c>
      <c r="E234" s="1">
        <f ca="1"/>
        <v>1E-3</v>
      </c>
      <c r="F234" s="1">
        <f t="shared" ca="1" si="7"/>
        <v>3.6166666666666665E-3</v>
      </c>
    </row>
    <row r="235" spans="1:6" x14ac:dyDescent="0.25">
      <c r="A235" t="str">
        <v>1999-06-30</v>
      </c>
      <c r="B235">
        <f ca="1"/>
        <v>-5.7000000000000002E-3</v>
      </c>
      <c r="C235">
        <f ca="1"/>
        <v>5.8999999999999997E-2</v>
      </c>
      <c r="D235">
        <f t="shared" ca="1" si="6"/>
        <v>4.9166666666666664E-3</v>
      </c>
      <c r="E235" s="1">
        <f ca="1"/>
        <v>0</v>
      </c>
      <c r="F235" s="1">
        <f t="shared" ca="1" si="7"/>
        <v>4.9166666666666664E-3</v>
      </c>
    </row>
    <row r="236" spans="1:6" x14ac:dyDescent="0.25">
      <c r="A236" t="str">
        <v>1999-07-31</v>
      </c>
      <c r="B236">
        <f ca="1"/>
        <v>-5.4000000000000003E-3</v>
      </c>
      <c r="C236">
        <f ca="1"/>
        <v>5.79E-2</v>
      </c>
      <c r="D236">
        <f t="shared" ca="1" si="6"/>
        <v>4.8250000000000003E-3</v>
      </c>
      <c r="E236" s="1">
        <f ca="1"/>
        <v>4.0000000000000001E-3</v>
      </c>
      <c r="F236" s="1">
        <f t="shared" ca="1" si="7"/>
        <v>8.2500000000000021E-4</v>
      </c>
    </row>
    <row r="237" spans="1:6" x14ac:dyDescent="0.25">
      <c r="A237" t="str">
        <v>1999-08-31</v>
      </c>
      <c r="B237">
        <f ca="1"/>
        <v>-5.7999999999999996E-3</v>
      </c>
      <c r="C237">
        <f ca="1"/>
        <v>5.9400000000000001E-2</v>
      </c>
      <c r="D237">
        <f t="shared" ca="1" si="6"/>
        <v>4.9500000000000004E-3</v>
      </c>
      <c r="E237" s="1">
        <f ca="1"/>
        <v>2E-3</v>
      </c>
      <c r="F237" s="1">
        <f t="shared" ca="1" si="7"/>
        <v>2.9500000000000004E-3</v>
      </c>
    </row>
    <row r="238" spans="1:6" x14ac:dyDescent="0.25">
      <c r="A238" t="str">
        <v>1999-09-30</v>
      </c>
      <c r="B238">
        <f ca="1"/>
        <v>-5.1000000000000004E-3</v>
      </c>
      <c r="C238">
        <f ca="1"/>
        <v>5.9200000000000003E-2</v>
      </c>
      <c r="D238">
        <f t="shared" ca="1" si="6"/>
        <v>4.9333333333333338E-3</v>
      </c>
      <c r="E238" s="1">
        <f ca="1"/>
        <v>4.0000000000000001E-3</v>
      </c>
      <c r="F238" s="1">
        <f t="shared" ca="1" si="7"/>
        <v>9.3333333333333376E-4</v>
      </c>
    </row>
    <row r="239" spans="1:6" x14ac:dyDescent="0.25">
      <c r="A239" t="str">
        <v>1999-10-31</v>
      </c>
      <c r="B239">
        <f ca="1"/>
        <v>-6.7999999999999996E-3</v>
      </c>
      <c r="C239">
        <f ca="1"/>
        <v>6.1100000000000002E-2</v>
      </c>
      <c r="D239">
        <f t="shared" ca="1" si="6"/>
        <v>5.0916666666666671E-3</v>
      </c>
      <c r="E239" s="1">
        <f ca="1"/>
        <v>2E-3</v>
      </c>
      <c r="F239" s="1">
        <f t="shared" ca="1" si="7"/>
        <v>3.091666666666667E-3</v>
      </c>
    </row>
    <row r="240" spans="1:6" x14ac:dyDescent="0.25">
      <c r="A240" t="str">
        <v>1999-11-30</v>
      </c>
      <c r="B240">
        <f ca="1"/>
        <v>-7.7000000000000002E-3</v>
      </c>
      <c r="C240">
        <f ca="1"/>
        <v>6.0299999999999999E-2</v>
      </c>
      <c r="D240">
        <f t="shared" ca="1" si="6"/>
        <v>5.025E-3</v>
      </c>
      <c r="E240" s="1">
        <f ca="1"/>
        <v>2E-3</v>
      </c>
      <c r="F240" s="1">
        <f t="shared" ca="1" si="7"/>
        <v>3.0249999999999999E-3</v>
      </c>
    </row>
    <row r="241" spans="1:6" x14ac:dyDescent="0.25">
      <c r="A241" t="str">
        <v>1999-12-31</v>
      </c>
      <c r="B241">
        <f ca="1"/>
        <v>-1.09E-2</v>
      </c>
      <c r="C241">
        <f ca="1"/>
        <v>6.2799999999999995E-2</v>
      </c>
      <c r="D241">
        <f t="shared" ca="1" si="6"/>
        <v>5.2333333333333329E-3</v>
      </c>
      <c r="E241" s="1">
        <f ca="1"/>
        <v>2E-3</v>
      </c>
      <c r="F241" s="1">
        <f t="shared" ca="1" si="7"/>
        <v>3.2333333333333329E-3</v>
      </c>
    </row>
    <row r="242" spans="1:6" x14ac:dyDescent="0.25">
      <c r="A242" t="str">
        <v>2000-01-31</v>
      </c>
      <c r="B242">
        <f ca="1"/>
        <v>-1.52E-2</v>
      </c>
      <c r="C242">
        <f ca="1"/>
        <v>6.6600000000000006E-2</v>
      </c>
      <c r="D242">
        <f t="shared" ca="1" si="6"/>
        <v>5.5500000000000002E-3</v>
      </c>
      <c r="E242" s="1">
        <f ca="1"/>
        <v>3.0000000000000001E-3</v>
      </c>
      <c r="F242" s="1">
        <f t="shared" ca="1" si="7"/>
        <v>2.5500000000000002E-3</v>
      </c>
    </row>
    <row r="243" spans="1:6" x14ac:dyDescent="0.25">
      <c r="A243" t="str">
        <v>2000-02-29</v>
      </c>
      <c r="B243">
        <f ca="1"/>
        <v>-1.2800000000000001E-2</v>
      </c>
      <c r="C243">
        <f ca="1"/>
        <v>6.5199999999999994E-2</v>
      </c>
      <c r="D243">
        <f t="shared" ca="1" si="6"/>
        <v>5.4333333333333326E-3</v>
      </c>
      <c r="E243" s="1">
        <f ca="1"/>
        <v>4.0000000000000001E-3</v>
      </c>
      <c r="F243" s="1">
        <f t="shared" ca="1" si="7"/>
        <v>1.4333333333333325E-3</v>
      </c>
    </row>
    <row r="244" spans="1:6" x14ac:dyDescent="0.25">
      <c r="A244" t="str">
        <v>2000-03-31</v>
      </c>
      <c r="B244">
        <f ca="1"/>
        <v>-1.0500000000000001E-2</v>
      </c>
      <c r="C244">
        <f ca="1"/>
        <v>6.2600000000000003E-2</v>
      </c>
      <c r="D244">
        <f t="shared" ca="1" si="6"/>
        <v>5.2166666666666672E-3</v>
      </c>
      <c r="E244" s="1">
        <f ca="1"/>
        <v>6.0000000000000001E-3</v>
      </c>
      <c r="F244" s="1">
        <f t="shared" ca="1" si="7"/>
        <v>-7.8333333333333293E-4</v>
      </c>
    </row>
    <row r="245" spans="1:6" x14ac:dyDescent="0.25">
      <c r="A245" t="str">
        <v>2000-04-30</v>
      </c>
      <c r="B245">
        <f ca="1"/>
        <v>-8.0999999999999996E-3</v>
      </c>
      <c r="C245">
        <f ca="1"/>
        <v>5.9900000000000002E-2</v>
      </c>
      <c r="D245">
        <f t="shared" ca="1" si="6"/>
        <v>4.9916666666666668E-3</v>
      </c>
      <c r="E245" s="1">
        <f ca="1"/>
        <v>-1E-3</v>
      </c>
      <c r="F245" s="1">
        <f t="shared" ca="1" si="7"/>
        <v>5.9916666666666668E-3</v>
      </c>
    </row>
    <row r="246" spans="1:6" x14ac:dyDescent="0.25">
      <c r="A246" t="str">
        <v>2000-05-31</v>
      </c>
      <c r="B246">
        <f ca="1"/>
        <v>-1.18E-2</v>
      </c>
      <c r="C246">
        <f ca="1"/>
        <v>6.4399999999999999E-2</v>
      </c>
      <c r="D246">
        <f t="shared" ca="1" si="6"/>
        <v>5.3666666666666663E-3</v>
      </c>
      <c r="E246" s="1">
        <f ca="1"/>
        <v>2E-3</v>
      </c>
      <c r="F246" s="1">
        <f t="shared" ca="1" si="7"/>
        <v>3.3666666666666662E-3</v>
      </c>
    </row>
    <row r="247" spans="1:6" x14ac:dyDescent="0.25">
      <c r="A247" t="str">
        <v>2000-06-30</v>
      </c>
      <c r="B247">
        <f ca="1"/>
        <v>-8.8999999999999999E-3</v>
      </c>
      <c r="C247">
        <f ca="1"/>
        <v>6.0999999999999999E-2</v>
      </c>
      <c r="D247">
        <f t="shared" ca="1" si="6"/>
        <v>5.0833333333333329E-3</v>
      </c>
      <c r="E247" s="1">
        <f ca="1"/>
        <v>6.0000000000000001E-3</v>
      </c>
      <c r="F247" s="1">
        <f t="shared" ca="1" si="7"/>
        <v>-9.1666666666666719E-4</v>
      </c>
    </row>
    <row r="248" spans="1:6" x14ac:dyDescent="0.25">
      <c r="A248" t="str">
        <v>2000-07-31</v>
      </c>
      <c r="B248">
        <f ca="1"/>
        <v>-8.6E-3</v>
      </c>
      <c r="C248">
        <f ca="1"/>
        <v>6.0499999999999998E-2</v>
      </c>
      <c r="D248">
        <f t="shared" ca="1" si="6"/>
        <v>5.0416666666666665E-3</v>
      </c>
      <c r="E248" s="1">
        <f ca="1"/>
        <v>3.0000000000000001E-3</v>
      </c>
      <c r="F248" s="1">
        <f t="shared" ca="1" si="7"/>
        <v>2.0416666666666665E-3</v>
      </c>
    </row>
    <row r="249" spans="1:6" x14ac:dyDescent="0.25">
      <c r="A249" t="str">
        <v>2000-08-31</v>
      </c>
      <c r="B249">
        <f ca="1"/>
        <v>-7.4000000000000003E-3</v>
      </c>
      <c r="C249">
        <f ca="1"/>
        <v>5.8299999999999998E-2</v>
      </c>
      <c r="D249">
        <f t="shared" ca="1" si="6"/>
        <v>4.8583333333333334E-3</v>
      </c>
      <c r="E249" s="1">
        <f ca="1"/>
        <v>0</v>
      </c>
      <c r="F249" s="1">
        <f t="shared" ca="1" si="7"/>
        <v>4.8583333333333334E-3</v>
      </c>
    </row>
    <row r="250" spans="1:6" x14ac:dyDescent="0.25">
      <c r="A250" t="str">
        <v>2000-09-30</v>
      </c>
      <c r="B250">
        <f ca="1"/>
        <v>-6.7999999999999996E-3</v>
      </c>
      <c r="C250">
        <f ca="1"/>
        <v>5.8000000000000003E-2</v>
      </c>
      <c r="D250">
        <f t="shared" ca="1" si="6"/>
        <v>4.8333333333333336E-3</v>
      </c>
      <c r="E250" s="1">
        <f ca="1"/>
        <v>5.0000000000000001E-3</v>
      </c>
      <c r="F250" s="1">
        <f t="shared" ca="1" si="7"/>
        <v>-1.6666666666666653E-4</v>
      </c>
    </row>
    <row r="251" spans="1:6" x14ac:dyDescent="0.25">
      <c r="A251" t="str">
        <v>2000-10-31</v>
      </c>
      <c r="B251">
        <f ca="1"/>
        <v>-5.1999999999999998E-3</v>
      </c>
      <c r="C251">
        <f ca="1"/>
        <v>5.74E-2</v>
      </c>
      <c r="D251">
        <f t="shared" ca="1" si="6"/>
        <v>4.783333333333333E-3</v>
      </c>
      <c r="E251" s="1">
        <f ca="1"/>
        <v>2E-3</v>
      </c>
      <c r="F251" s="1">
        <f t="shared" ca="1" si="7"/>
        <v>2.783333333333333E-3</v>
      </c>
    </row>
    <row r="252" spans="1:6" x14ac:dyDescent="0.25">
      <c r="A252" t="str">
        <v>2000-11-30</v>
      </c>
      <c r="B252">
        <f ca="1"/>
        <v>-4.7000000000000002E-3</v>
      </c>
      <c r="C252">
        <f ca="1"/>
        <v>5.7200000000000001E-2</v>
      </c>
      <c r="D252">
        <f t="shared" ca="1" si="6"/>
        <v>4.7666666666666664E-3</v>
      </c>
      <c r="E252" s="1">
        <f ca="1"/>
        <v>2E-3</v>
      </c>
      <c r="F252" s="1">
        <f t="shared" ca="1" si="7"/>
        <v>2.7666666666666664E-3</v>
      </c>
    </row>
    <row r="253" spans="1:6" x14ac:dyDescent="0.25">
      <c r="A253" t="str">
        <v>2000-12-31</v>
      </c>
      <c r="B253">
        <f ca="1"/>
        <v>1E-3</v>
      </c>
      <c r="C253">
        <f ca="1"/>
        <v>5.2400000000000002E-2</v>
      </c>
      <c r="D253">
        <f t="shared" ca="1" si="6"/>
        <v>4.3666666666666671E-3</v>
      </c>
      <c r="E253" s="1">
        <f ca="1"/>
        <v>2E-3</v>
      </c>
      <c r="F253" s="1">
        <f t="shared" ca="1" si="7"/>
        <v>2.3666666666666671E-3</v>
      </c>
    </row>
    <row r="254" spans="1:6" x14ac:dyDescent="0.25">
      <c r="A254" t="str">
        <v>2001-01-31</v>
      </c>
      <c r="B254">
        <f ca="1"/>
        <v>2.0999999999999999E-3</v>
      </c>
      <c r="C254">
        <f ca="1"/>
        <v>5.16E-2</v>
      </c>
      <c r="D254">
        <f t="shared" ca="1" si="6"/>
        <v>4.3E-3</v>
      </c>
      <c r="E254" s="1">
        <f ca="1"/>
        <v>6.0000000000000001E-3</v>
      </c>
      <c r="F254" s="1">
        <f t="shared" ca="1" si="7"/>
        <v>-1.7000000000000001E-3</v>
      </c>
    </row>
    <row r="255" spans="1:6" x14ac:dyDescent="0.25">
      <c r="A255" t="str">
        <v>2001-02-28</v>
      </c>
      <c r="B255">
        <f ca="1"/>
        <v>3.8E-3</v>
      </c>
      <c r="C255">
        <f ca="1"/>
        <v>5.0999999999999997E-2</v>
      </c>
      <c r="D255">
        <f t="shared" ca="1" si="6"/>
        <v>4.2499999999999994E-3</v>
      </c>
      <c r="E255" s="1">
        <f ca="1"/>
        <v>2E-3</v>
      </c>
      <c r="F255" s="1">
        <f t="shared" ca="1" si="7"/>
        <v>2.2499999999999994E-3</v>
      </c>
    </row>
    <row r="256" spans="1:6" x14ac:dyDescent="0.25">
      <c r="A256" t="str">
        <v>2001-03-31</v>
      </c>
      <c r="B256">
        <f ca="1"/>
        <v>8.9999999999999993E-3</v>
      </c>
      <c r="C256">
        <f ca="1"/>
        <v>4.8899999999999999E-2</v>
      </c>
      <c r="D256">
        <f t="shared" ca="1" si="6"/>
        <v>4.0749999999999996E-3</v>
      </c>
      <c r="E256" s="1">
        <f ca="1"/>
        <v>1E-3</v>
      </c>
      <c r="F256" s="1">
        <f t="shared" ca="1" si="7"/>
        <v>3.0749999999999996E-3</v>
      </c>
    </row>
    <row r="257" spans="1:6" x14ac:dyDescent="0.25">
      <c r="A257" t="str">
        <v>2001-04-30</v>
      </c>
      <c r="B257">
        <f ca="1"/>
        <v>6.8999999999999999E-3</v>
      </c>
      <c r="C257">
        <f ca="1"/>
        <v>5.1400000000000001E-2</v>
      </c>
      <c r="D257">
        <f t="shared" ca="1" si="6"/>
        <v>4.2833333333333334E-3</v>
      </c>
      <c r="E257" s="1">
        <f ca="1"/>
        <v>2E-3</v>
      </c>
      <c r="F257" s="1">
        <f t="shared" ca="1" si="7"/>
        <v>2.2833333333333334E-3</v>
      </c>
    </row>
    <row r="258" spans="1:6" x14ac:dyDescent="0.25">
      <c r="A258" t="str">
        <v>2001-05-31</v>
      </c>
      <c r="B258">
        <f ca="1"/>
        <v>2.8999999999999998E-3</v>
      </c>
      <c r="C258">
        <f ca="1"/>
        <v>5.3900000000000003E-2</v>
      </c>
      <c r="D258">
        <f t="shared" ca="1" si="6"/>
        <v>4.4916666666666672E-3</v>
      </c>
      <c r="E258" s="1">
        <f ca="1"/>
        <v>5.0000000000000001E-3</v>
      </c>
      <c r="F258" s="1">
        <f t="shared" ca="1" si="7"/>
        <v>-5.0833333333333286E-4</v>
      </c>
    </row>
    <row r="259" spans="1:6" x14ac:dyDescent="0.25">
      <c r="A259" t="str">
        <v>2001-06-30</v>
      </c>
      <c r="B259">
        <f ca="1"/>
        <v>4.7000000000000002E-3</v>
      </c>
      <c r="C259">
        <f ca="1"/>
        <v>5.28E-2</v>
      </c>
      <c r="D259">
        <f t="shared" ref="D259:D322" ca="1" si="8">C259/12</f>
        <v>4.4000000000000003E-3</v>
      </c>
      <c r="E259" s="1">
        <f ca="1"/>
        <v>2E-3</v>
      </c>
      <c r="F259" s="1">
        <f t="shared" ref="F259:F322" ca="1" si="9">D259-E259</f>
        <v>2.4000000000000002E-3</v>
      </c>
    </row>
    <row r="260" spans="1:6" x14ac:dyDescent="0.25">
      <c r="A260" t="str">
        <v>2001-07-31</v>
      </c>
      <c r="B260">
        <f ca="1"/>
        <v>5.4999999999999997E-3</v>
      </c>
      <c r="C260">
        <f ca="1"/>
        <v>5.2400000000000002E-2</v>
      </c>
      <c r="D260">
        <f t="shared" ca="1" si="8"/>
        <v>4.3666666666666671E-3</v>
      </c>
      <c r="E260" s="1">
        <f ca="1"/>
        <v>-2E-3</v>
      </c>
      <c r="F260" s="1">
        <f t="shared" ca="1" si="9"/>
        <v>6.3666666666666672E-3</v>
      </c>
    </row>
    <row r="261" spans="1:6" x14ac:dyDescent="0.25">
      <c r="A261" t="str">
        <v>2001-08-31</v>
      </c>
      <c r="B261">
        <f ca="1"/>
        <v>8.6999999999999994E-3</v>
      </c>
      <c r="C261">
        <f ca="1"/>
        <v>4.9700000000000001E-2</v>
      </c>
      <c r="D261">
        <f t="shared" ca="1" si="8"/>
        <v>4.1416666666666668E-3</v>
      </c>
      <c r="E261" s="1">
        <f ca="1"/>
        <v>0</v>
      </c>
      <c r="F261" s="1">
        <f t="shared" ca="1" si="9"/>
        <v>4.1416666666666668E-3</v>
      </c>
    </row>
    <row r="262" spans="1:6" x14ac:dyDescent="0.25">
      <c r="A262" t="str">
        <v>2001-09-30</v>
      </c>
      <c r="B262">
        <f ca="1"/>
        <v>1.54E-2</v>
      </c>
      <c r="C262">
        <f ca="1"/>
        <v>4.7300000000000002E-2</v>
      </c>
      <c r="D262">
        <f t="shared" ca="1" si="8"/>
        <v>3.9416666666666671E-3</v>
      </c>
      <c r="E262" s="1">
        <f ca="1"/>
        <v>4.0000000000000001E-3</v>
      </c>
      <c r="F262" s="1">
        <f t="shared" ca="1" si="9"/>
        <v>-5.833333333333298E-5</v>
      </c>
    </row>
    <row r="263" spans="1:6" x14ac:dyDescent="0.25">
      <c r="A263" t="str">
        <v>2001-10-31</v>
      </c>
      <c r="B263">
        <f ca="1"/>
        <v>1.5299999999999999E-2</v>
      </c>
      <c r="C263">
        <f ca="1"/>
        <v>4.5699999999999998E-2</v>
      </c>
      <c r="D263">
        <f t="shared" ca="1" si="8"/>
        <v>3.8083333333333333E-3</v>
      </c>
      <c r="E263" s="1">
        <f ca="1"/>
        <v>-3.0000000000000001E-3</v>
      </c>
      <c r="F263" s="1">
        <f t="shared" ca="1" si="9"/>
        <v>6.8083333333333329E-3</v>
      </c>
    </row>
    <row r="264" spans="1:6" x14ac:dyDescent="0.25">
      <c r="A264" t="str">
        <v>2001-11-30</v>
      </c>
      <c r="B264">
        <f ca="1"/>
        <v>1.24E-2</v>
      </c>
      <c r="C264">
        <f ca="1"/>
        <v>4.65E-2</v>
      </c>
      <c r="D264">
        <f t="shared" ca="1" si="8"/>
        <v>3.875E-3</v>
      </c>
      <c r="E264" s="1">
        <f ca="1"/>
        <v>-1E-3</v>
      </c>
      <c r="F264" s="1">
        <f t="shared" ca="1" si="9"/>
        <v>4.875E-3</v>
      </c>
    </row>
    <row r="265" spans="1:6" x14ac:dyDescent="0.25">
      <c r="A265" t="str">
        <v>2001-12-31</v>
      </c>
      <c r="B265">
        <f ca="1"/>
        <v>7.0000000000000001E-3</v>
      </c>
      <c r="C265">
        <f ca="1"/>
        <v>5.0900000000000001E-2</v>
      </c>
      <c r="D265">
        <f t="shared" ca="1" si="8"/>
        <v>4.241666666666667E-3</v>
      </c>
      <c r="E265" s="1">
        <f ca="1"/>
        <v>-1E-3</v>
      </c>
      <c r="F265" s="1">
        <f t="shared" ca="1" si="9"/>
        <v>5.241666666666667E-3</v>
      </c>
    </row>
    <row r="266" spans="1:6" x14ac:dyDescent="0.25">
      <c r="A266" t="str">
        <v>2002-01-31</v>
      </c>
      <c r="B266">
        <f ca="1"/>
        <v>7.7999999999999996E-3</v>
      </c>
      <c r="C266">
        <f ca="1"/>
        <v>5.04E-2</v>
      </c>
      <c r="D266">
        <f t="shared" ca="1" si="8"/>
        <v>4.1999999999999997E-3</v>
      </c>
      <c r="E266" s="1">
        <f ca="1"/>
        <v>2E-3</v>
      </c>
      <c r="F266" s="1">
        <f t="shared" ca="1" si="9"/>
        <v>2.1999999999999997E-3</v>
      </c>
    </row>
    <row r="267" spans="1:6" x14ac:dyDescent="0.25">
      <c r="A267" t="str">
        <v>2002-02-28</v>
      </c>
      <c r="B267">
        <f ca="1"/>
        <v>1.0500000000000001E-2</v>
      </c>
      <c r="C267">
        <f ca="1"/>
        <v>4.9099999999999998E-2</v>
      </c>
      <c r="D267">
        <f t="shared" ca="1" si="8"/>
        <v>4.0916666666666662E-3</v>
      </c>
      <c r="E267" s="1">
        <f ca="1"/>
        <v>2E-3</v>
      </c>
      <c r="F267" s="1">
        <f t="shared" ca="1" si="9"/>
        <v>2.0916666666666662E-3</v>
      </c>
    </row>
    <row r="268" spans="1:6" x14ac:dyDescent="0.25">
      <c r="A268" t="str">
        <v>2002-03-31</v>
      </c>
      <c r="B268">
        <f ca="1"/>
        <v>5.4999999999999997E-3</v>
      </c>
      <c r="C268">
        <f ca="1"/>
        <v>5.28E-2</v>
      </c>
      <c r="D268">
        <f t="shared" ca="1" si="8"/>
        <v>4.4000000000000003E-3</v>
      </c>
      <c r="E268" s="1">
        <f ca="1"/>
        <v>3.0000000000000001E-3</v>
      </c>
      <c r="F268" s="1">
        <f t="shared" ca="1" si="9"/>
        <v>1.4000000000000002E-3</v>
      </c>
    </row>
    <row r="269" spans="1:6" x14ac:dyDescent="0.25">
      <c r="A269" t="str">
        <v>2002-04-30</v>
      </c>
      <c r="B269">
        <f ca="1"/>
        <v>8.0999999999999996E-3</v>
      </c>
      <c r="C269">
        <f ca="1"/>
        <v>5.21E-2</v>
      </c>
      <c r="D269">
        <f t="shared" ca="1" si="8"/>
        <v>4.3416666666666664E-3</v>
      </c>
      <c r="E269" s="1">
        <f ca="1"/>
        <v>4.0000000000000001E-3</v>
      </c>
      <c r="F269" s="1">
        <f t="shared" ca="1" si="9"/>
        <v>3.4166666666666633E-4</v>
      </c>
    </row>
    <row r="270" spans="1:6" x14ac:dyDescent="0.25">
      <c r="A270" t="str">
        <v>2002-05-31</v>
      </c>
      <c r="B270">
        <f ca="1"/>
        <v>9.4999999999999998E-3</v>
      </c>
      <c r="C270">
        <f ca="1"/>
        <v>5.16E-2</v>
      </c>
      <c r="D270">
        <f t="shared" ca="1" si="8"/>
        <v>4.3E-3</v>
      </c>
      <c r="E270" s="1">
        <f ca="1"/>
        <v>1E-3</v>
      </c>
      <c r="F270" s="1">
        <f t="shared" ca="1" si="9"/>
        <v>3.3E-3</v>
      </c>
    </row>
    <row r="271" spans="1:6" x14ac:dyDescent="0.25">
      <c r="A271" t="str">
        <v>2002-06-30</v>
      </c>
      <c r="B271">
        <f ca="1"/>
        <v>1.38E-2</v>
      </c>
      <c r="C271">
        <f ca="1"/>
        <v>4.9299999999999997E-2</v>
      </c>
      <c r="D271">
        <f t="shared" ca="1" si="8"/>
        <v>4.1083333333333328E-3</v>
      </c>
      <c r="E271" s="1">
        <f ca="1"/>
        <v>1E-3</v>
      </c>
      <c r="F271" s="1">
        <f t="shared" ca="1" si="9"/>
        <v>3.1083333333333327E-3</v>
      </c>
    </row>
    <row r="272" spans="1:6" x14ac:dyDescent="0.25">
      <c r="A272" t="str">
        <v>2002-07-31</v>
      </c>
      <c r="B272">
        <f ca="1"/>
        <v>2.1299999999999999E-2</v>
      </c>
      <c r="C272">
        <f ca="1"/>
        <v>4.65E-2</v>
      </c>
      <c r="D272">
        <f t="shared" ca="1" si="8"/>
        <v>3.875E-3</v>
      </c>
      <c r="E272" s="1">
        <f ca="1"/>
        <v>2E-3</v>
      </c>
      <c r="F272" s="1">
        <f t="shared" ca="1" si="9"/>
        <v>1.8749999999999999E-3</v>
      </c>
    </row>
    <row r="273" spans="1:6" x14ac:dyDescent="0.25">
      <c r="A273" t="str">
        <v>2002-08-31</v>
      </c>
      <c r="B273">
        <f ca="1"/>
        <v>2.5000000000000001E-2</v>
      </c>
      <c r="C273">
        <f ca="1"/>
        <v>4.2599999999999999E-2</v>
      </c>
      <c r="D273">
        <f t="shared" ca="1" si="8"/>
        <v>3.5499999999999998E-3</v>
      </c>
      <c r="E273" s="1">
        <f ca="1"/>
        <v>3.0000000000000001E-3</v>
      </c>
      <c r="F273" s="1">
        <f t="shared" ca="1" si="9"/>
        <v>5.4999999999999971E-4</v>
      </c>
    </row>
    <row r="274" spans="1:6" x14ac:dyDescent="0.25">
      <c r="A274" t="str">
        <v>2002-09-30</v>
      </c>
      <c r="B274">
        <f ca="1"/>
        <v>3.1099999999999999E-2</v>
      </c>
      <c r="C274">
        <f ca="1"/>
        <v>3.8699999999999998E-2</v>
      </c>
      <c r="D274">
        <f t="shared" ca="1" si="8"/>
        <v>3.225E-3</v>
      </c>
      <c r="E274" s="1">
        <f ca="1"/>
        <v>2E-3</v>
      </c>
      <c r="F274" s="1">
        <f t="shared" ca="1" si="9"/>
        <v>1.225E-3</v>
      </c>
    </row>
    <row r="275" spans="1:6" x14ac:dyDescent="0.25">
      <c r="A275" t="str">
        <v>2002-10-31</v>
      </c>
      <c r="B275">
        <f ca="1"/>
        <v>3.1E-2</v>
      </c>
      <c r="C275">
        <f ca="1"/>
        <v>3.9399999999999998E-2</v>
      </c>
      <c r="D275">
        <f t="shared" ca="1" si="8"/>
        <v>3.283333333333333E-3</v>
      </c>
      <c r="E275" s="1">
        <f ca="1"/>
        <v>2E-3</v>
      </c>
      <c r="F275" s="1">
        <f t="shared" ca="1" si="9"/>
        <v>1.2833333333333329E-3</v>
      </c>
    </row>
    <row r="276" spans="1:6" x14ac:dyDescent="0.25">
      <c r="A276" t="str">
        <v>2002-11-30</v>
      </c>
      <c r="B276">
        <f ca="1"/>
        <v>2.7099999999999999E-2</v>
      </c>
      <c r="C276">
        <f ca="1"/>
        <v>4.0500000000000001E-2</v>
      </c>
      <c r="D276">
        <f t="shared" ca="1" si="8"/>
        <v>3.375E-3</v>
      </c>
      <c r="E276" s="1">
        <f ca="1"/>
        <v>2E-3</v>
      </c>
      <c r="F276" s="1">
        <f t="shared" ca="1" si="9"/>
        <v>1.3749999999999999E-3</v>
      </c>
    </row>
    <row r="277" spans="1:6" x14ac:dyDescent="0.25">
      <c r="A277" t="str">
        <v>2002-12-31</v>
      </c>
      <c r="B277">
        <f ca="1"/>
        <v>2.76E-2</v>
      </c>
      <c r="C277">
        <f ca="1"/>
        <v>4.0300000000000002E-2</v>
      </c>
      <c r="D277">
        <f t="shared" ca="1" si="8"/>
        <v>3.3583333333333334E-3</v>
      </c>
      <c r="E277" s="1">
        <f ca="1"/>
        <v>2E-3</v>
      </c>
      <c r="F277" s="1">
        <f t="shared" ca="1" si="9"/>
        <v>1.3583333333333334E-3</v>
      </c>
    </row>
    <row r="278" spans="1:6" x14ac:dyDescent="0.25">
      <c r="A278" t="str">
        <v>2003-01-31</v>
      </c>
      <c r="B278">
        <f ca="1"/>
        <v>2.7699999999999999E-2</v>
      </c>
      <c r="C278">
        <f ca="1"/>
        <v>4.0500000000000001E-2</v>
      </c>
      <c r="D278">
        <f t="shared" ca="1" si="8"/>
        <v>3.375E-3</v>
      </c>
      <c r="E278" s="1">
        <f ca="1"/>
        <v>4.0000000000000001E-3</v>
      </c>
      <c r="F278" s="1">
        <f t="shared" ca="1" si="9"/>
        <v>-6.2500000000000012E-4</v>
      </c>
    </row>
    <row r="279" spans="1:6" x14ac:dyDescent="0.25">
      <c r="A279" t="str">
        <v>2003-02-28</v>
      </c>
      <c r="B279">
        <f ca="1"/>
        <v>3.3099999999999997E-2</v>
      </c>
      <c r="C279">
        <f ca="1"/>
        <v>3.9E-2</v>
      </c>
      <c r="D279">
        <f t="shared" ca="1" si="8"/>
        <v>3.2499999999999999E-3</v>
      </c>
      <c r="E279" s="1">
        <f ca="1"/>
        <v>5.0000000000000001E-3</v>
      </c>
      <c r="F279" s="1">
        <f t="shared" ca="1" si="9"/>
        <v>-1.7500000000000003E-3</v>
      </c>
    </row>
    <row r="280" spans="1:6" x14ac:dyDescent="0.25">
      <c r="A280" t="str">
        <v>2003-03-31</v>
      </c>
      <c r="B280">
        <f ca="1"/>
        <v>3.4000000000000002E-2</v>
      </c>
      <c r="C280">
        <f ca="1"/>
        <v>3.8100000000000002E-2</v>
      </c>
      <c r="D280">
        <f t="shared" ca="1" si="8"/>
        <v>3.1750000000000003E-3</v>
      </c>
      <c r="E280" s="1">
        <f ca="1"/>
        <v>2E-3</v>
      </c>
      <c r="F280" s="1">
        <f t="shared" ca="1" si="9"/>
        <v>1.1750000000000003E-3</v>
      </c>
    </row>
    <row r="281" spans="1:6" x14ac:dyDescent="0.25">
      <c r="A281" t="str">
        <v>2003-04-30</v>
      </c>
      <c r="B281">
        <f ca="1"/>
        <v>2.9700000000000001E-2</v>
      </c>
      <c r="C281">
        <f ca="1"/>
        <v>3.9600000000000003E-2</v>
      </c>
      <c r="D281">
        <f t="shared" ca="1" si="8"/>
        <v>3.3000000000000004E-3</v>
      </c>
      <c r="E281" s="1">
        <f ca="1"/>
        <v>-4.0000000000000001E-3</v>
      </c>
      <c r="F281" s="1">
        <f t="shared" ca="1" si="9"/>
        <v>7.3000000000000009E-3</v>
      </c>
    </row>
    <row r="282" spans="1:6" x14ac:dyDescent="0.25">
      <c r="A282" t="str">
        <v>2003-05-31</v>
      </c>
      <c r="B282">
        <f ca="1"/>
        <v>3.1099999999999999E-2</v>
      </c>
      <c r="C282">
        <f ca="1"/>
        <v>3.5700000000000003E-2</v>
      </c>
      <c r="D282">
        <f t="shared" ca="1" si="8"/>
        <v>2.9750000000000002E-3</v>
      </c>
      <c r="E282" s="1">
        <f ca="1"/>
        <v>-2E-3</v>
      </c>
      <c r="F282" s="1">
        <f t="shared" ca="1" si="9"/>
        <v>4.9750000000000003E-3</v>
      </c>
    </row>
    <row r="283" spans="1:6" x14ac:dyDescent="0.25">
      <c r="A283" t="str">
        <v>2003-06-30</v>
      </c>
      <c r="B283">
        <f ca="1"/>
        <v>3.1300000000000001E-2</v>
      </c>
      <c r="C283">
        <f ca="1"/>
        <v>3.3300000000000003E-2</v>
      </c>
      <c r="D283">
        <f t="shared" ca="1" si="8"/>
        <v>2.7750000000000001E-3</v>
      </c>
      <c r="E283" s="1">
        <f ca="1"/>
        <v>1E-3</v>
      </c>
      <c r="F283" s="1">
        <f t="shared" ca="1" si="9"/>
        <v>1.7750000000000001E-3</v>
      </c>
    </row>
    <row r="284" spans="1:6" x14ac:dyDescent="0.25">
      <c r="A284" t="str">
        <v>2003-07-31</v>
      </c>
      <c r="B284">
        <f ca="1"/>
        <v>2.4899999999999999E-2</v>
      </c>
      <c r="C284">
        <f ca="1"/>
        <v>3.9800000000000002E-2</v>
      </c>
      <c r="D284">
        <f t="shared" ca="1" si="8"/>
        <v>3.316666666666667E-3</v>
      </c>
      <c r="E284" s="1">
        <f ca="1"/>
        <v>3.0000000000000001E-3</v>
      </c>
      <c r="F284" s="1">
        <f t="shared" ca="1" si="9"/>
        <v>3.1666666666666692E-4</v>
      </c>
    </row>
    <row r="285" spans="1:6" x14ac:dyDescent="0.25">
      <c r="A285" t="str">
        <v>2003-08-31</v>
      </c>
      <c r="B285">
        <f ca="1"/>
        <v>2.07E-2</v>
      </c>
      <c r="C285">
        <f ca="1"/>
        <v>4.4499999999999998E-2</v>
      </c>
      <c r="D285">
        <f t="shared" ca="1" si="8"/>
        <v>3.708333333333333E-3</v>
      </c>
      <c r="E285" s="1">
        <f ca="1"/>
        <v>4.0000000000000001E-3</v>
      </c>
      <c r="F285" s="1">
        <f t="shared" ca="1" si="9"/>
        <v>-2.9166666666666707E-4</v>
      </c>
    </row>
    <row r="286" spans="1:6" x14ac:dyDescent="0.25">
      <c r="A286" t="str">
        <v>2003-09-30</v>
      </c>
      <c r="B286">
        <f ca="1"/>
        <v>2.1600000000000001E-2</v>
      </c>
      <c r="C286">
        <f ca="1"/>
        <v>4.2700000000000002E-2</v>
      </c>
      <c r="D286">
        <f t="shared" ca="1" si="8"/>
        <v>3.5583333333333335E-3</v>
      </c>
      <c r="E286" s="1">
        <f ca="1"/>
        <v>3.0000000000000001E-3</v>
      </c>
      <c r="F286" s="1">
        <f t="shared" ca="1" si="9"/>
        <v>5.5833333333333342E-4</v>
      </c>
    </row>
    <row r="287" spans="1:6" x14ac:dyDescent="0.25">
      <c r="A287" t="str">
        <v>2003-10-31</v>
      </c>
      <c r="B287">
        <f ca="1"/>
        <v>2.0199999999999999E-2</v>
      </c>
      <c r="C287">
        <f ca="1"/>
        <v>4.2900000000000001E-2</v>
      </c>
      <c r="D287">
        <f t="shared" ca="1" si="8"/>
        <v>3.5750000000000001E-3</v>
      </c>
      <c r="E287" s="1">
        <f ca="1"/>
        <v>-1E-3</v>
      </c>
      <c r="F287" s="1">
        <f t="shared" ca="1" si="9"/>
        <v>4.5750000000000001E-3</v>
      </c>
    </row>
    <row r="288" spans="1:6" x14ac:dyDescent="0.25">
      <c r="A288" t="str">
        <v>2003-11-30</v>
      </c>
      <c r="B288">
        <f ca="1"/>
        <v>1.9400000000000001E-2</v>
      </c>
      <c r="C288">
        <f ca="1"/>
        <v>4.2999999999999997E-2</v>
      </c>
      <c r="D288">
        <f t="shared" ca="1" si="8"/>
        <v>3.5833333333333329E-3</v>
      </c>
      <c r="E288" s="1">
        <f ca="1"/>
        <v>1E-3</v>
      </c>
      <c r="F288" s="1">
        <f t="shared" ca="1" si="9"/>
        <v>2.5833333333333329E-3</v>
      </c>
    </row>
    <row r="289" spans="1:6" x14ac:dyDescent="0.25">
      <c r="A289" t="str">
        <v>2003-12-31</v>
      </c>
      <c r="B289">
        <f ca="1"/>
        <v>1.8599999999999998E-2</v>
      </c>
      <c r="C289">
        <f ca="1"/>
        <v>4.2700000000000002E-2</v>
      </c>
      <c r="D289">
        <f t="shared" ca="1" si="8"/>
        <v>3.5583333333333335E-3</v>
      </c>
      <c r="E289" s="1">
        <f ca="1"/>
        <v>3.0000000000000001E-3</v>
      </c>
      <c r="F289" s="1">
        <f t="shared" ca="1" si="9"/>
        <v>5.5833333333333342E-4</v>
      </c>
    </row>
    <row r="290" spans="1:6" x14ac:dyDescent="0.25">
      <c r="A290" t="str">
        <v>2004-01-31</v>
      </c>
      <c r="B290">
        <f ca="1"/>
        <v>1.8599999999999998E-2</v>
      </c>
      <c r="C290">
        <f ca="1"/>
        <v>4.1500000000000002E-2</v>
      </c>
      <c r="D290">
        <f t="shared" ca="1" si="8"/>
        <v>3.4583333333333337E-3</v>
      </c>
      <c r="E290" s="1">
        <f ca="1"/>
        <v>4.0000000000000001E-3</v>
      </c>
      <c r="F290" s="1">
        <f t="shared" ca="1" si="9"/>
        <v>-5.4166666666666642E-4</v>
      </c>
    </row>
    <row r="291" spans="1:6" x14ac:dyDescent="0.25">
      <c r="A291" t="str">
        <v>2004-02-29</v>
      </c>
      <c r="B291">
        <f ca="1"/>
        <v>1.95E-2</v>
      </c>
      <c r="C291">
        <f ca="1"/>
        <v>4.0800000000000003E-2</v>
      </c>
      <c r="D291">
        <f t="shared" ca="1" si="8"/>
        <v>3.4000000000000002E-3</v>
      </c>
      <c r="E291" s="1">
        <f ca="1"/>
        <v>2E-3</v>
      </c>
      <c r="F291" s="1">
        <f t="shared" ca="1" si="9"/>
        <v>1.4000000000000002E-3</v>
      </c>
    </row>
    <row r="292" spans="1:6" x14ac:dyDescent="0.25">
      <c r="A292" t="str">
        <v>2004-03-31</v>
      </c>
      <c r="B292">
        <f ca="1"/>
        <v>2.3300000000000001E-2</v>
      </c>
      <c r="C292">
        <f ca="1"/>
        <v>3.8300000000000001E-2</v>
      </c>
      <c r="D292">
        <f t="shared" ca="1" si="8"/>
        <v>3.1916666666666669E-3</v>
      </c>
      <c r="E292" s="1">
        <f ca="1"/>
        <v>2E-3</v>
      </c>
      <c r="F292" s="1">
        <f t="shared" ca="1" si="9"/>
        <v>1.1916666666666668E-3</v>
      </c>
    </row>
    <row r="293" spans="1:6" x14ac:dyDescent="0.25">
      <c r="A293" t="str">
        <v>2004-04-30</v>
      </c>
      <c r="B293">
        <f ca="1"/>
        <v>1.83E-2</v>
      </c>
      <c r="C293">
        <f ca="1"/>
        <v>4.3499999999999997E-2</v>
      </c>
      <c r="D293">
        <f t="shared" ca="1" si="8"/>
        <v>3.6249999999999998E-3</v>
      </c>
      <c r="E293" s="1">
        <f ca="1"/>
        <v>2E-3</v>
      </c>
      <c r="F293" s="1">
        <f t="shared" ca="1" si="9"/>
        <v>1.6249999999999997E-3</v>
      </c>
    </row>
    <row r="294" spans="1:6" x14ac:dyDescent="0.25">
      <c r="A294" t="str">
        <v>2004-05-31</v>
      </c>
      <c r="B294">
        <f ca="1"/>
        <v>1.66E-2</v>
      </c>
      <c r="C294">
        <f ca="1"/>
        <v>4.7199999999999999E-2</v>
      </c>
      <c r="D294">
        <f t="shared" ca="1" si="8"/>
        <v>3.933333333333333E-3</v>
      </c>
      <c r="E294" s="1">
        <f ca="1"/>
        <v>4.0000000000000001E-3</v>
      </c>
      <c r="F294" s="1">
        <f t="shared" ca="1" si="9"/>
        <v>-6.6666666666667131E-5</v>
      </c>
    </row>
    <row r="295" spans="1:6" x14ac:dyDescent="0.25">
      <c r="A295" t="str">
        <v>2004-06-30</v>
      </c>
      <c r="B295">
        <f ca="1"/>
        <v>1.5699999999999999E-2</v>
      </c>
      <c r="C295">
        <f ca="1"/>
        <v>4.7300000000000002E-2</v>
      </c>
      <c r="D295">
        <f t="shared" ca="1" si="8"/>
        <v>3.9416666666666671E-3</v>
      </c>
      <c r="E295" s="1">
        <f ca="1"/>
        <v>4.0000000000000001E-3</v>
      </c>
      <c r="F295" s="1">
        <f t="shared" ca="1" si="9"/>
        <v>-5.833333333333298E-5</v>
      </c>
    </row>
    <row r="296" spans="1:6" x14ac:dyDescent="0.25">
      <c r="A296" t="str">
        <v>2004-07-31</v>
      </c>
      <c r="B296">
        <f ca="1"/>
        <v>1.8599999999999998E-2</v>
      </c>
      <c r="C296">
        <f ca="1"/>
        <v>4.4999999999999998E-2</v>
      </c>
      <c r="D296">
        <f t="shared" ca="1" si="8"/>
        <v>3.7499999999999999E-3</v>
      </c>
      <c r="E296" s="1">
        <f ca="1"/>
        <v>1E-3</v>
      </c>
      <c r="F296" s="1">
        <f t="shared" ca="1" si="9"/>
        <v>2.7499999999999998E-3</v>
      </c>
    </row>
    <row r="297" spans="1:6" x14ac:dyDescent="0.25">
      <c r="A297" t="str">
        <v>2004-08-31</v>
      </c>
      <c r="B297">
        <f ca="1"/>
        <v>2.1299999999999999E-2</v>
      </c>
      <c r="C297">
        <f ca="1"/>
        <v>4.2799999999999998E-2</v>
      </c>
      <c r="D297">
        <f t="shared" ca="1" si="8"/>
        <v>3.5666666666666663E-3</v>
      </c>
      <c r="E297" s="1">
        <f ca="1"/>
        <v>1E-3</v>
      </c>
      <c r="F297" s="1">
        <f t="shared" ca="1" si="9"/>
        <v>2.5666666666666663E-3</v>
      </c>
    </row>
    <row r="298" spans="1:6" x14ac:dyDescent="0.25">
      <c r="A298" t="str">
        <v>2004-09-30</v>
      </c>
      <c r="B298">
        <f ca="1"/>
        <v>2.1899999999999999E-2</v>
      </c>
      <c r="C298">
        <f ca="1"/>
        <v>4.1300000000000003E-2</v>
      </c>
      <c r="D298">
        <f t="shared" ca="1" si="8"/>
        <v>3.4416666666666671E-3</v>
      </c>
      <c r="E298" s="1">
        <f ca="1"/>
        <v>3.0000000000000001E-3</v>
      </c>
      <c r="F298" s="1">
        <f t="shared" ca="1" si="9"/>
        <v>4.4166666666666703E-4</v>
      </c>
    </row>
    <row r="299" spans="1:6" x14ac:dyDescent="0.25">
      <c r="A299" t="str">
        <v>2004-10-31</v>
      </c>
      <c r="B299">
        <f ca="1"/>
        <v>2.3099999999999999E-2</v>
      </c>
      <c r="C299">
        <f ca="1"/>
        <v>4.1000000000000002E-2</v>
      </c>
      <c r="D299">
        <f t="shared" ca="1" si="8"/>
        <v>3.4166666666666668E-3</v>
      </c>
      <c r="E299" s="1">
        <f ca="1"/>
        <v>5.0000000000000001E-3</v>
      </c>
      <c r="F299" s="1">
        <f t="shared" ca="1" si="9"/>
        <v>-1.5833333333333333E-3</v>
      </c>
    </row>
    <row r="300" spans="1:6" x14ac:dyDescent="0.25">
      <c r="A300" t="str">
        <v>2004-11-30</v>
      </c>
      <c r="B300">
        <f ca="1"/>
        <v>2.0500000000000001E-2</v>
      </c>
      <c r="C300">
        <f ca="1"/>
        <v>4.19E-2</v>
      </c>
      <c r="D300">
        <f t="shared" ca="1" si="8"/>
        <v>3.4916666666666668E-3</v>
      </c>
      <c r="E300" s="1">
        <f ca="1"/>
        <v>5.0000000000000001E-3</v>
      </c>
      <c r="F300" s="1">
        <f t="shared" ca="1" si="9"/>
        <v>-1.5083333333333333E-3</v>
      </c>
    </row>
    <row r="301" spans="1:6" x14ac:dyDescent="0.25">
      <c r="A301" t="str">
        <v>2004-12-31</v>
      </c>
      <c r="B301">
        <f ca="1"/>
        <v>1.8800000000000001E-2</v>
      </c>
      <c r="C301">
        <f ca="1"/>
        <v>4.2299999999999997E-2</v>
      </c>
      <c r="D301">
        <f t="shared" ca="1" si="8"/>
        <v>3.5249999999999999E-3</v>
      </c>
      <c r="E301" s="1">
        <f ca="1"/>
        <v>0</v>
      </c>
      <c r="F301" s="1">
        <f t="shared" ca="1" si="9"/>
        <v>3.5249999999999999E-3</v>
      </c>
    </row>
    <row r="302" spans="1:6" x14ac:dyDescent="0.25">
      <c r="A302" t="str">
        <v>2005-01-31</v>
      </c>
      <c r="B302">
        <f ca="1"/>
        <v>1.95E-2</v>
      </c>
      <c r="C302">
        <f ca="1"/>
        <v>4.2200000000000001E-2</v>
      </c>
      <c r="D302">
        <f t="shared" ca="1" si="8"/>
        <v>3.5166666666666666E-3</v>
      </c>
      <c r="E302" s="1">
        <f ca="1"/>
        <v>-1E-3</v>
      </c>
      <c r="F302" s="1">
        <f t="shared" ca="1" si="9"/>
        <v>4.5166666666666671E-3</v>
      </c>
    </row>
    <row r="303" spans="1:6" x14ac:dyDescent="0.25">
      <c r="A303" t="str">
        <v>2005-02-28</v>
      </c>
      <c r="B303">
        <f ca="1"/>
        <v>0.02</v>
      </c>
      <c r="C303">
        <f ca="1"/>
        <v>4.1700000000000001E-2</v>
      </c>
      <c r="D303">
        <f t="shared" ca="1" si="8"/>
        <v>3.4750000000000002E-3</v>
      </c>
      <c r="E303" s="1">
        <f ca="1"/>
        <v>4.0000000000000001E-3</v>
      </c>
      <c r="F303" s="1">
        <f t="shared" ca="1" si="9"/>
        <v>-5.2499999999999986E-4</v>
      </c>
    </row>
    <row r="304" spans="1:6" x14ac:dyDescent="0.25">
      <c r="A304" t="str">
        <v>2005-03-31</v>
      </c>
      <c r="B304">
        <f ca="1"/>
        <v>1.77E-2</v>
      </c>
      <c r="C304">
        <f ca="1"/>
        <v>4.4999999999999998E-2</v>
      </c>
      <c r="D304">
        <f t="shared" ca="1" si="8"/>
        <v>3.7499999999999999E-3</v>
      </c>
      <c r="E304" s="1">
        <f ca="1"/>
        <v>4.0000000000000001E-3</v>
      </c>
      <c r="F304" s="1">
        <f t="shared" ca="1" si="9"/>
        <v>-2.5000000000000022E-4</v>
      </c>
    </row>
    <row r="305" spans="1:6" x14ac:dyDescent="0.25">
      <c r="A305" t="str">
        <v>2005-04-30</v>
      </c>
      <c r="B305">
        <f ca="1"/>
        <v>2.1000000000000001E-2</v>
      </c>
      <c r="C305">
        <f ca="1"/>
        <v>4.3400000000000001E-2</v>
      </c>
      <c r="D305">
        <f t="shared" ca="1" si="8"/>
        <v>3.6166666666666669E-3</v>
      </c>
      <c r="E305" s="1">
        <f ca="1"/>
        <v>3.0000000000000001E-3</v>
      </c>
      <c r="F305" s="1">
        <f t="shared" ca="1" si="9"/>
        <v>6.1666666666666684E-4</v>
      </c>
    </row>
    <row r="306" spans="1:6" x14ac:dyDescent="0.25">
      <c r="A306" t="str">
        <v>2005-05-31</v>
      </c>
      <c r="B306">
        <f ca="1"/>
        <v>2.24E-2</v>
      </c>
      <c r="C306">
        <f ca="1"/>
        <v>4.1399999999999999E-2</v>
      </c>
      <c r="D306">
        <f t="shared" ca="1" si="8"/>
        <v>3.4499999999999999E-3</v>
      </c>
      <c r="E306" s="1">
        <f ca="1"/>
        <v>-1E-3</v>
      </c>
      <c r="F306" s="1">
        <f t="shared" ca="1" si="9"/>
        <v>4.45E-3</v>
      </c>
    </row>
    <row r="307" spans="1:6" x14ac:dyDescent="0.25">
      <c r="A307" t="str">
        <v>2005-06-30</v>
      </c>
      <c r="B307">
        <f ca="1"/>
        <v>2.3E-2</v>
      </c>
      <c r="C307">
        <f ca="1"/>
        <v>0.04</v>
      </c>
      <c r="D307">
        <f t="shared" ca="1" si="8"/>
        <v>3.3333333333333335E-3</v>
      </c>
      <c r="E307" s="1">
        <f ca="1"/>
        <v>1E-3</v>
      </c>
      <c r="F307" s="1">
        <f t="shared" ca="1" si="9"/>
        <v>2.3333333333333335E-3</v>
      </c>
    </row>
    <row r="308" spans="1:6" x14ac:dyDescent="0.25">
      <c r="A308" t="str">
        <v>2005-07-31</v>
      </c>
      <c r="B308">
        <f ca="1"/>
        <v>2.1299999999999999E-2</v>
      </c>
      <c r="C308">
        <f ca="1"/>
        <v>4.1799999999999997E-2</v>
      </c>
      <c r="D308">
        <f t="shared" ca="1" si="8"/>
        <v>3.4833333333333331E-3</v>
      </c>
      <c r="E308" s="1">
        <f ca="1"/>
        <v>6.0000000000000001E-3</v>
      </c>
      <c r="F308" s="1">
        <f t="shared" ca="1" si="9"/>
        <v>-2.5166666666666671E-3</v>
      </c>
    </row>
    <row r="309" spans="1:6" x14ac:dyDescent="0.25">
      <c r="A309" t="str">
        <v>2005-08-31</v>
      </c>
      <c r="B309">
        <f ca="1"/>
        <v>2.1100000000000001E-2</v>
      </c>
      <c r="C309">
        <f ca="1"/>
        <v>4.2599999999999999E-2</v>
      </c>
      <c r="D309">
        <f t="shared" ca="1" si="8"/>
        <v>3.5499999999999998E-3</v>
      </c>
      <c r="E309" s="1">
        <f ca="1"/>
        <v>6.0000000000000001E-3</v>
      </c>
      <c r="F309" s="1">
        <f t="shared" ca="1" si="9"/>
        <v>-2.4500000000000004E-3</v>
      </c>
    </row>
    <row r="310" spans="1:6" x14ac:dyDescent="0.25">
      <c r="A310" t="str">
        <v>2005-09-30</v>
      </c>
      <c r="B310">
        <f ca="1"/>
        <v>2.3300000000000001E-2</v>
      </c>
      <c r="C310">
        <f ca="1"/>
        <v>4.2000000000000003E-2</v>
      </c>
      <c r="D310">
        <f t="shared" ca="1" si="8"/>
        <v>3.5000000000000001E-3</v>
      </c>
      <c r="E310" s="1">
        <f ca="1"/>
        <v>1.4E-2</v>
      </c>
      <c r="F310" s="1">
        <f t="shared" ca="1" si="9"/>
        <v>-1.0500000000000001E-2</v>
      </c>
    </row>
    <row r="311" spans="1:6" x14ac:dyDescent="0.25">
      <c r="A311" t="str">
        <v>2005-10-31</v>
      </c>
      <c r="B311">
        <f ca="1"/>
        <v>2.1899999999999999E-2</v>
      </c>
      <c r="C311">
        <f ca="1"/>
        <v>4.4600000000000001E-2</v>
      </c>
      <c r="D311">
        <f t="shared" ca="1" si="8"/>
        <v>3.7166666666666667E-3</v>
      </c>
      <c r="E311" s="1">
        <f ca="1"/>
        <v>2E-3</v>
      </c>
      <c r="F311" s="1">
        <f t="shared" ca="1" si="9"/>
        <v>1.7166666666666667E-3</v>
      </c>
    </row>
    <row r="312" spans="1:6" x14ac:dyDescent="0.25">
      <c r="A312" t="str">
        <v>2005-11-30</v>
      </c>
      <c r="B312">
        <f ca="1"/>
        <v>1.8700000000000001E-2</v>
      </c>
      <c r="C312">
        <f ca="1"/>
        <v>4.5400000000000003E-2</v>
      </c>
      <c r="D312">
        <f t="shared" ca="1" si="8"/>
        <v>3.7833333333333334E-3</v>
      </c>
      <c r="E312" s="1">
        <f ca="1"/>
        <v>-5.0000000000000001E-3</v>
      </c>
      <c r="F312" s="1">
        <f t="shared" ca="1" si="9"/>
        <v>8.783333333333334E-3</v>
      </c>
    </row>
    <row r="313" spans="1:6" x14ac:dyDescent="0.25">
      <c r="A313" t="str">
        <v>2005-12-31</v>
      </c>
      <c r="B313">
        <f ca="1"/>
        <v>1.83E-2</v>
      </c>
      <c r="C313">
        <f ca="1"/>
        <v>4.4699999999999997E-2</v>
      </c>
      <c r="D313">
        <f t="shared" ca="1" si="8"/>
        <v>3.7249999999999996E-3</v>
      </c>
      <c r="E313" s="1">
        <f ca="1"/>
        <v>0</v>
      </c>
      <c r="F313" s="1">
        <f t="shared" ca="1" si="9"/>
        <v>3.7249999999999996E-3</v>
      </c>
    </row>
    <row r="314" spans="1:6" x14ac:dyDescent="0.25">
      <c r="A314" t="str">
        <v>2006-01-31</v>
      </c>
      <c r="B314">
        <f ca="1"/>
        <v>1.89E-2</v>
      </c>
      <c r="C314">
        <f ca="1"/>
        <v>4.4200000000000003E-2</v>
      </c>
      <c r="D314">
        <f t="shared" ca="1" si="8"/>
        <v>3.6833333333333336E-3</v>
      </c>
      <c r="E314" s="1">
        <f ca="1"/>
        <v>6.0000000000000001E-3</v>
      </c>
      <c r="F314" s="1">
        <f t="shared" ca="1" si="9"/>
        <v>-2.3166666666666665E-3</v>
      </c>
    </row>
    <row r="315" spans="1:6" x14ac:dyDescent="0.25">
      <c r="A315" t="str">
        <v>2006-02-28</v>
      </c>
      <c r="B315">
        <f ca="1"/>
        <v>1.7600000000000001E-2</v>
      </c>
      <c r="C315">
        <f ca="1"/>
        <v>4.5699999999999998E-2</v>
      </c>
      <c r="D315">
        <f t="shared" ca="1" si="8"/>
        <v>3.8083333333333333E-3</v>
      </c>
      <c r="E315" s="1">
        <f ca="1"/>
        <v>1E-3</v>
      </c>
      <c r="F315" s="1">
        <f t="shared" ca="1" si="9"/>
        <v>2.8083333333333333E-3</v>
      </c>
    </row>
    <row r="316" spans="1:6" x14ac:dyDescent="0.25">
      <c r="A316" t="str">
        <v>2006-03-31</v>
      </c>
      <c r="B316">
        <f ca="1"/>
        <v>1.6E-2</v>
      </c>
      <c r="C316">
        <f ca="1"/>
        <v>4.7199999999999999E-2</v>
      </c>
      <c r="D316">
        <f t="shared" ca="1" si="8"/>
        <v>3.933333333333333E-3</v>
      </c>
      <c r="E316" s="1">
        <f ca="1"/>
        <v>2E-3</v>
      </c>
      <c r="F316" s="1">
        <f t="shared" ca="1" si="9"/>
        <v>1.9333333333333329E-3</v>
      </c>
    </row>
    <row r="317" spans="1:6" x14ac:dyDescent="0.25">
      <c r="A317" t="str">
        <v>2006-04-30</v>
      </c>
      <c r="B317">
        <f ca="1"/>
        <v>1.41E-2</v>
      </c>
      <c r="C317">
        <f ca="1"/>
        <v>4.99E-2</v>
      </c>
      <c r="D317">
        <f t="shared" ca="1" si="8"/>
        <v>4.1583333333333333E-3</v>
      </c>
      <c r="E317" s="1">
        <f ca="1"/>
        <v>5.0000000000000001E-3</v>
      </c>
      <c r="F317" s="1">
        <f t="shared" ca="1" si="9"/>
        <v>-8.4166666666666678E-4</v>
      </c>
    </row>
    <row r="318" spans="1:6" x14ac:dyDescent="0.25">
      <c r="A318" t="str">
        <v>2006-05-31</v>
      </c>
      <c r="B318">
        <f ca="1"/>
        <v>1.3899999999999999E-2</v>
      </c>
      <c r="C318">
        <f ca="1"/>
        <v>5.11E-2</v>
      </c>
      <c r="D318">
        <f t="shared" ca="1" si="8"/>
        <v>4.2583333333333336E-3</v>
      </c>
      <c r="E318" s="1">
        <f ca="1"/>
        <v>3.0000000000000001E-3</v>
      </c>
      <c r="F318" s="1">
        <f t="shared" ca="1" si="9"/>
        <v>1.2583333333333335E-3</v>
      </c>
    </row>
    <row r="319" spans="1:6" x14ac:dyDescent="0.25">
      <c r="A319" t="str">
        <v>2006-06-30</v>
      </c>
      <c r="B319">
        <f ca="1"/>
        <v>1.55E-2</v>
      </c>
      <c r="C319">
        <f ca="1"/>
        <v>5.11E-2</v>
      </c>
      <c r="D319">
        <f t="shared" ca="1" si="8"/>
        <v>4.2583333333333336E-3</v>
      </c>
      <c r="E319" s="1">
        <f ca="1"/>
        <v>2E-3</v>
      </c>
      <c r="F319" s="1">
        <f t="shared" ca="1" si="9"/>
        <v>2.2583333333333335E-3</v>
      </c>
    </row>
    <row r="320" spans="1:6" x14ac:dyDescent="0.25">
      <c r="A320" t="str">
        <v>2006-07-31</v>
      </c>
      <c r="B320">
        <f ca="1"/>
        <v>1.5900000000000001E-2</v>
      </c>
      <c r="C320">
        <f ca="1"/>
        <v>5.0900000000000001E-2</v>
      </c>
      <c r="D320">
        <f t="shared" ca="1" si="8"/>
        <v>4.241666666666667E-3</v>
      </c>
      <c r="E320" s="1">
        <f ca="1"/>
        <v>5.0000000000000001E-3</v>
      </c>
      <c r="F320" s="1">
        <f t="shared" ca="1" si="9"/>
        <v>-7.5833333333333308E-4</v>
      </c>
    </row>
    <row r="321" spans="1:6" x14ac:dyDescent="0.25">
      <c r="A321" t="str">
        <v>2006-08-31</v>
      </c>
      <c r="B321">
        <f ca="1"/>
        <v>1.7399999999999999E-2</v>
      </c>
      <c r="C321">
        <f ca="1"/>
        <v>4.8800000000000003E-2</v>
      </c>
      <c r="D321">
        <f t="shared" ca="1" si="8"/>
        <v>4.0666666666666672E-3</v>
      </c>
      <c r="E321" s="1">
        <f ca="1"/>
        <v>4.0000000000000001E-3</v>
      </c>
      <c r="F321" s="1">
        <f t="shared" ca="1" si="9"/>
        <v>6.6666666666667131E-5</v>
      </c>
    </row>
    <row r="322" spans="1:6" x14ac:dyDescent="0.25">
      <c r="A322" t="str">
        <v>2006-09-30</v>
      </c>
      <c r="B322">
        <f ca="1"/>
        <v>1.7299999999999999E-2</v>
      </c>
      <c r="C322">
        <f ca="1"/>
        <v>4.7199999999999999E-2</v>
      </c>
      <c r="D322">
        <f t="shared" ca="1" si="8"/>
        <v>3.933333333333333E-3</v>
      </c>
      <c r="E322" s="1">
        <f ca="1"/>
        <v>-5.0000000000000001E-3</v>
      </c>
      <c r="F322" s="1">
        <f t="shared" ca="1" si="9"/>
        <v>8.9333333333333331E-3</v>
      </c>
    </row>
    <row r="323" spans="1:6" x14ac:dyDescent="0.25">
      <c r="A323" t="str">
        <v>2006-10-31</v>
      </c>
      <c r="B323">
        <f ca="1"/>
        <v>1.4999999999999999E-2</v>
      </c>
      <c r="C323">
        <f ca="1"/>
        <v>4.7300000000000002E-2</v>
      </c>
      <c r="D323">
        <f t="shared" ref="D323:D386" ca="1" si="10">C323/12</f>
        <v>3.9416666666666671E-3</v>
      </c>
      <c r="E323" s="1">
        <f ca="1"/>
        <v>-4.0000000000000001E-3</v>
      </c>
      <c r="F323" s="1">
        <f t="shared" ref="F323:F386" ca="1" si="11">D323-E323</f>
        <v>7.9416666666666663E-3</v>
      </c>
    </row>
    <row r="324" spans="1:6" x14ac:dyDescent="0.25">
      <c r="A324" t="str">
        <v>2006-11-30</v>
      </c>
      <c r="B324">
        <f ca="1"/>
        <v>1.54E-2</v>
      </c>
      <c r="C324">
        <f ca="1"/>
        <v>4.5999999999999999E-2</v>
      </c>
      <c r="D324">
        <f t="shared" ca="1" si="10"/>
        <v>3.8333333333333331E-3</v>
      </c>
      <c r="E324" s="1">
        <f ca="1"/>
        <v>0</v>
      </c>
      <c r="F324" s="1">
        <f t="shared" ca="1" si="11"/>
        <v>3.8333333333333331E-3</v>
      </c>
    </row>
    <row r="325" spans="1:6" x14ac:dyDescent="0.25">
      <c r="A325" t="str">
        <v>2006-12-31</v>
      </c>
      <c r="B325">
        <f ca="1"/>
        <v>1.54E-2</v>
      </c>
      <c r="C325">
        <f ca="1"/>
        <v>4.5600000000000002E-2</v>
      </c>
      <c r="D325">
        <f t="shared" ca="1" si="10"/>
        <v>3.8E-3</v>
      </c>
      <c r="E325" s="1">
        <f ca="1"/>
        <v>5.0000000000000001E-3</v>
      </c>
      <c r="F325" s="1">
        <f t="shared" ca="1" si="11"/>
        <v>-1.2000000000000001E-3</v>
      </c>
    </row>
    <row r="326" spans="1:6" x14ac:dyDescent="0.25">
      <c r="A326" t="str">
        <v>2007-01-31</v>
      </c>
      <c r="B326">
        <f ca="1"/>
        <v>1.35E-2</v>
      </c>
      <c r="C326">
        <f ca="1"/>
        <v>4.7600000000000003E-2</v>
      </c>
      <c r="D326">
        <f t="shared" ca="1" si="10"/>
        <v>3.966666666666667E-3</v>
      </c>
      <c r="E326" s="1">
        <f ca="1"/>
        <v>2E-3</v>
      </c>
      <c r="F326" s="1">
        <f t="shared" ca="1" si="11"/>
        <v>1.9666666666666669E-3</v>
      </c>
    </row>
    <row r="327" spans="1:6" x14ac:dyDescent="0.25">
      <c r="A327" t="str">
        <v>2007-02-28</v>
      </c>
      <c r="B327">
        <f ca="1"/>
        <v>1.4E-2</v>
      </c>
      <c r="C327">
        <f ca="1"/>
        <v>4.7199999999999999E-2</v>
      </c>
      <c r="D327">
        <f t="shared" ca="1" si="10"/>
        <v>3.933333333333333E-3</v>
      </c>
      <c r="E327" s="1">
        <f ca="1"/>
        <v>4.0000000000000001E-3</v>
      </c>
      <c r="F327" s="1">
        <f t="shared" ca="1" si="11"/>
        <v>-6.6666666666667131E-5</v>
      </c>
    </row>
    <row r="328" spans="1:6" x14ac:dyDescent="0.25">
      <c r="A328" t="str">
        <v>2007-03-31</v>
      </c>
      <c r="B328">
        <f ca="1"/>
        <v>1.78E-2</v>
      </c>
      <c r="C328">
        <f ca="1"/>
        <v>4.5600000000000002E-2</v>
      </c>
      <c r="D328">
        <f t="shared" ca="1" si="10"/>
        <v>3.8E-3</v>
      </c>
      <c r="E328" s="1">
        <f ca="1"/>
        <v>5.0000000000000001E-3</v>
      </c>
      <c r="F328" s="1">
        <f t="shared" ca="1" si="11"/>
        <v>-1.2000000000000001E-3</v>
      </c>
    </row>
    <row r="329" spans="1:6" x14ac:dyDescent="0.25">
      <c r="A329" t="str">
        <v>2007-04-30</v>
      </c>
      <c r="B329">
        <f ca="1"/>
        <v>1.6E-2</v>
      </c>
      <c r="C329">
        <f ca="1"/>
        <v>4.6899999999999997E-2</v>
      </c>
      <c r="D329">
        <f t="shared" ca="1" si="10"/>
        <v>3.9083333333333331E-3</v>
      </c>
      <c r="E329" s="1">
        <f ca="1"/>
        <v>3.0000000000000001E-3</v>
      </c>
      <c r="F329" s="1">
        <f t="shared" ca="1" si="11"/>
        <v>9.0833333333333304E-4</v>
      </c>
    </row>
    <row r="330" spans="1:6" x14ac:dyDescent="0.25">
      <c r="A330" t="str">
        <v>2007-05-31</v>
      </c>
      <c r="B330">
        <f ca="1"/>
        <v>1.5299999999999999E-2</v>
      </c>
      <c r="C330">
        <f ca="1"/>
        <v>4.7500000000000001E-2</v>
      </c>
      <c r="D330">
        <f t="shared" ca="1" si="10"/>
        <v>3.9583333333333337E-3</v>
      </c>
      <c r="E330" s="1">
        <f ca="1"/>
        <v>4.0000000000000001E-3</v>
      </c>
      <c r="F330" s="1">
        <f t="shared" ca="1" si="11"/>
        <v>-4.1666666666666415E-5</v>
      </c>
    </row>
    <row r="331" spans="1:6" x14ac:dyDescent="0.25">
      <c r="A331" t="str">
        <v>2007-06-30</v>
      </c>
      <c r="B331">
        <f ca="1"/>
        <v>1.2E-2</v>
      </c>
      <c r="C331">
        <f ca="1"/>
        <v>5.0999999999999997E-2</v>
      </c>
      <c r="D331">
        <f t="shared" ca="1" si="10"/>
        <v>4.2499999999999994E-3</v>
      </c>
      <c r="E331" s="1">
        <f ca="1"/>
        <v>2E-3</v>
      </c>
      <c r="F331" s="1">
        <f t="shared" ca="1" si="11"/>
        <v>2.2499999999999994E-3</v>
      </c>
    </row>
    <row r="332" spans="1:6" x14ac:dyDescent="0.25">
      <c r="A332" t="str">
        <v>2007-07-31</v>
      </c>
      <c r="B332">
        <f ca="1"/>
        <v>1.29E-2</v>
      </c>
      <c r="C332">
        <f ca="1"/>
        <v>0.05</v>
      </c>
      <c r="D332">
        <f t="shared" ca="1" si="10"/>
        <v>4.1666666666666666E-3</v>
      </c>
      <c r="E332" s="1">
        <f ca="1"/>
        <v>2E-3</v>
      </c>
      <c r="F332" s="1">
        <f t="shared" ca="1" si="11"/>
        <v>2.1666666666666666E-3</v>
      </c>
    </row>
    <row r="333" spans="1:6" x14ac:dyDescent="0.25">
      <c r="A333" t="str">
        <v>2007-08-31</v>
      </c>
      <c r="B333">
        <f ca="1"/>
        <v>1.7600000000000001E-2</v>
      </c>
      <c r="C333">
        <f ca="1"/>
        <v>4.6699999999999998E-2</v>
      </c>
      <c r="D333">
        <f t="shared" ca="1" si="10"/>
        <v>3.8916666666666665E-3</v>
      </c>
      <c r="E333" s="1">
        <f ca="1"/>
        <v>0</v>
      </c>
      <c r="F333" s="1">
        <f t="shared" ca="1" si="11"/>
        <v>3.8916666666666665E-3</v>
      </c>
    </row>
    <row r="334" spans="1:6" x14ac:dyDescent="0.25">
      <c r="A334" t="str">
        <v>2007-09-30</v>
      </c>
      <c r="B334">
        <f ca="1"/>
        <v>1.83E-2</v>
      </c>
      <c r="C334">
        <f ca="1"/>
        <v>4.5199999999999997E-2</v>
      </c>
      <c r="D334">
        <f t="shared" ca="1" si="10"/>
        <v>3.7666666666666664E-3</v>
      </c>
      <c r="E334" s="1">
        <f ca="1"/>
        <v>4.0000000000000001E-3</v>
      </c>
      <c r="F334" s="1">
        <f t="shared" ca="1" si="11"/>
        <v>-2.3333333333333366E-4</v>
      </c>
    </row>
    <row r="335" spans="1:6" x14ac:dyDescent="0.25">
      <c r="A335" t="str">
        <v>2007-10-31</v>
      </c>
      <c r="B335">
        <f ca="1"/>
        <v>1.7299999999999999E-2</v>
      </c>
      <c r="C335">
        <f ca="1"/>
        <v>4.53E-2</v>
      </c>
      <c r="D335">
        <f t="shared" ca="1" si="10"/>
        <v>3.7750000000000001E-3</v>
      </c>
      <c r="E335" s="1">
        <f ca="1"/>
        <v>3.0000000000000001E-3</v>
      </c>
      <c r="F335" s="1">
        <f t="shared" ca="1" si="11"/>
        <v>7.7500000000000008E-4</v>
      </c>
    </row>
    <row r="336" spans="1:6" x14ac:dyDescent="0.25">
      <c r="A336" t="str">
        <v>2007-11-30</v>
      </c>
      <c r="B336">
        <f ca="1"/>
        <v>2.41E-2</v>
      </c>
      <c r="C336">
        <f ca="1"/>
        <v>4.1500000000000002E-2</v>
      </c>
      <c r="D336">
        <f t="shared" ca="1" si="10"/>
        <v>3.4583333333333337E-3</v>
      </c>
      <c r="E336" s="1">
        <f ca="1"/>
        <v>8.0000000000000002E-3</v>
      </c>
      <c r="F336" s="1">
        <f t="shared" ca="1" si="11"/>
        <v>-4.5416666666666661E-3</v>
      </c>
    </row>
    <row r="337" spans="1:6" x14ac:dyDescent="0.25">
      <c r="A337" t="str">
        <v>2007-12-31</v>
      </c>
      <c r="B337">
        <f ca="1"/>
        <v>2.4299999999999999E-2</v>
      </c>
      <c r="C337">
        <f ca="1"/>
        <v>4.1000000000000002E-2</v>
      </c>
      <c r="D337">
        <f t="shared" ca="1" si="10"/>
        <v>3.4166666666666668E-3</v>
      </c>
      <c r="E337" s="1">
        <f ca="1"/>
        <v>3.0000000000000001E-3</v>
      </c>
      <c r="F337" s="1">
        <f t="shared" ca="1" si="11"/>
        <v>4.1666666666666675E-4</v>
      </c>
    </row>
    <row r="338" spans="1:6" x14ac:dyDescent="0.25">
      <c r="A338" t="str">
        <v>2008-01-31</v>
      </c>
      <c r="B338">
        <f ca="1"/>
        <v>3.1300000000000001E-2</v>
      </c>
      <c r="C338">
        <f ca="1"/>
        <v>3.7400000000000003E-2</v>
      </c>
      <c r="D338">
        <f t="shared" ca="1" si="10"/>
        <v>3.1166666666666669E-3</v>
      </c>
      <c r="E338" s="1">
        <f ca="1"/>
        <v>3.0000000000000001E-3</v>
      </c>
      <c r="F338" s="1">
        <f t="shared" ca="1" si="11"/>
        <v>1.1666666666666683E-4</v>
      </c>
    </row>
    <row r="339" spans="1:6" x14ac:dyDescent="0.25">
      <c r="A339" t="str">
        <v>2008-02-29</v>
      </c>
      <c r="B339">
        <f ca="1"/>
        <v>3.2300000000000002E-2</v>
      </c>
      <c r="C339">
        <f ca="1"/>
        <v>3.7400000000000003E-2</v>
      </c>
      <c r="D339">
        <f t="shared" ca="1" si="10"/>
        <v>3.1166666666666669E-3</v>
      </c>
      <c r="E339" s="1">
        <f ca="1"/>
        <v>2E-3</v>
      </c>
      <c r="F339" s="1">
        <f t="shared" ca="1" si="11"/>
        <v>1.1166666666666668E-3</v>
      </c>
    </row>
    <row r="340" spans="1:6" x14ac:dyDescent="0.25">
      <c r="A340" t="str">
        <v>2008-03-31</v>
      </c>
      <c r="B340">
        <f ca="1"/>
        <v>3.6999999999999998E-2</v>
      </c>
      <c r="C340">
        <f ca="1"/>
        <v>3.5099999999999999E-2</v>
      </c>
      <c r="D340">
        <f t="shared" ca="1" si="10"/>
        <v>2.9250000000000001E-3</v>
      </c>
      <c r="E340" s="1">
        <f ca="1"/>
        <v>4.0000000000000001E-3</v>
      </c>
      <c r="F340" s="1">
        <f t="shared" ca="1" si="11"/>
        <v>-1.075E-3</v>
      </c>
    </row>
    <row r="341" spans="1:6" x14ac:dyDescent="0.25">
      <c r="A341" t="str">
        <v>2008-04-30</v>
      </c>
      <c r="B341">
        <f ca="1"/>
        <v>3.4299999999999997E-2</v>
      </c>
      <c r="C341">
        <f ca="1"/>
        <v>3.6799999999999999E-2</v>
      </c>
      <c r="D341">
        <f t="shared" ca="1" si="10"/>
        <v>3.0666666666666668E-3</v>
      </c>
      <c r="E341" s="1">
        <f ca="1"/>
        <v>2E-3</v>
      </c>
      <c r="F341" s="1">
        <f t="shared" ca="1" si="11"/>
        <v>1.0666666666666667E-3</v>
      </c>
    </row>
    <row r="342" spans="1:6" x14ac:dyDescent="0.25">
      <c r="A342" t="str">
        <v>2008-05-31</v>
      </c>
      <c r="B342">
        <f ca="1"/>
        <v>3.2399999999999998E-2</v>
      </c>
      <c r="C342">
        <f ca="1"/>
        <v>3.8800000000000001E-2</v>
      </c>
      <c r="D342">
        <f t="shared" ca="1" si="10"/>
        <v>3.2333333333333333E-3</v>
      </c>
      <c r="E342" s="1">
        <f ca="1"/>
        <v>6.0000000000000001E-3</v>
      </c>
      <c r="F342" s="1">
        <f t="shared" ca="1" si="11"/>
        <v>-2.7666666666666668E-3</v>
      </c>
    </row>
    <row r="343" spans="1:6" x14ac:dyDescent="0.25">
      <c r="A343" t="str">
        <v>2008-06-30</v>
      </c>
      <c r="B343">
        <f ca="1"/>
        <v>3.3500000000000002E-2</v>
      </c>
      <c r="C343">
        <f ca="1"/>
        <v>4.1000000000000002E-2</v>
      </c>
      <c r="D343">
        <f t="shared" ca="1" si="10"/>
        <v>3.4166666666666668E-3</v>
      </c>
      <c r="E343" s="1">
        <f ca="1"/>
        <v>0.01</v>
      </c>
      <c r="F343" s="1">
        <f t="shared" ca="1" si="11"/>
        <v>-6.5833333333333334E-3</v>
      </c>
    </row>
    <row r="344" spans="1:6" x14ac:dyDescent="0.25">
      <c r="A344" t="str">
        <v>2008-07-31</v>
      </c>
      <c r="B344">
        <f ca="1"/>
        <v>3.7999999999999999E-2</v>
      </c>
      <c r="C344">
        <f ca="1"/>
        <v>4.0099999999999997E-2</v>
      </c>
      <c r="D344">
        <f t="shared" ca="1" si="10"/>
        <v>3.3416666666666664E-3</v>
      </c>
      <c r="E344" s="1">
        <f ca="1"/>
        <v>7.0000000000000001E-3</v>
      </c>
      <c r="F344" s="1">
        <f t="shared" ca="1" si="11"/>
        <v>-3.6583333333333337E-3</v>
      </c>
    </row>
    <row r="345" spans="1:6" x14ac:dyDescent="0.25">
      <c r="A345" t="str">
        <v>2008-08-31</v>
      </c>
      <c r="B345">
        <f ca="1"/>
        <v>3.7600000000000001E-2</v>
      </c>
      <c r="C345">
        <f ca="1"/>
        <v>3.8899999999999997E-2</v>
      </c>
      <c r="D345">
        <f t="shared" ca="1" si="10"/>
        <v>3.2416666666666666E-3</v>
      </c>
      <c r="E345" s="1">
        <f ca="1"/>
        <v>-1E-3</v>
      </c>
      <c r="F345" s="1">
        <f t="shared" ca="1" si="11"/>
        <v>4.2416666666666662E-3</v>
      </c>
    </row>
    <row r="346" spans="1:6" x14ac:dyDescent="0.25">
      <c r="A346" t="str">
        <v>2008-09-30</v>
      </c>
      <c r="B346">
        <f ca="1"/>
        <v>4.1700000000000001E-2</v>
      </c>
      <c r="C346">
        <f ca="1"/>
        <v>3.6900000000000002E-2</v>
      </c>
      <c r="D346">
        <f t="shared" ca="1" si="10"/>
        <v>3.075E-3</v>
      </c>
      <c r="E346" s="1">
        <f ca="1"/>
        <v>1E-3</v>
      </c>
      <c r="F346" s="1">
        <f t="shared" ca="1" si="11"/>
        <v>2.075E-3</v>
      </c>
    </row>
    <row r="347" spans="1:6" x14ac:dyDescent="0.25">
      <c r="A347" t="str">
        <v>2008-10-31</v>
      </c>
      <c r="B347">
        <f ca="1"/>
        <v>5.11E-2</v>
      </c>
      <c r="C347">
        <f ca="1"/>
        <v>3.8100000000000002E-2</v>
      </c>
      <c r="D347">
        <f t="shared" ca="1" si="10"/>
        <v>3.1750000000000003E-3</v>
      </c>
      <c r="E347" s="1">
        <f ca="1"/>
        <v>-8.9999999999999993E-3</v>
      </c>
      <c r="F347" s="1">
        <f t="shared" ca="1" si="11"/>
        <v>1.2175E-2</v>
      </c>
    </row>
    <row r="348" spans="1:6" x14ac:dyDescent="0.25">
      <c r="A348" t="str">
        <v>2008-11-30</v>
      </c>
      <c r="B348">
        <f ca="1"/>
        <v>5.6399999999999999E-2</v>
      </c>
      <c r="C348">
        <f ca="1"/>
        <v>3.5299999999999998E-2</v>
      </c>
      <c r="D348">
        <f t="shared" ca="1" si="10"/>
        <v>2.9416666666666666E-3</v>
      </c>
      <c r="E348" s="1">
        <f ca="1"/>
        <v>-1.7999999999999999E-2</v>
      </c>
      <c r="F348" s="1">
        <f t="shared" ca="1" si="11"/>
        <v>2.0941666666666664E-2</v>
      </c>
    </row>
    <row r="349" spans="1:6" x14ac:dyDescent="0.25">
      <c r="A349" t="str">
        <v>2008-12-31</v>
      </c>
      <c r="B349">
        <f ca="1"/>
        <v>6.6000000000000003E-2</v>
      </c>
      <c r="C349">
        <f ca="1"/>
        <v>2.4199999999999999E-2</v>
      </c>
      <c r="D349">
        <f t="shared" ca="1" si="10"/>
        <v>2.0166666666666666E-3</v>
      </c>
      <c r="E349" s="1">
        <f ca="1"/>
        <v>-8.0000000000000002E-3</v>
      </c>
      <c r="F349" s="1">
        <f t="shared" ca="1" si="11"/>
        <v>1.0016666666666667E-2</v>
      </c>
    </row>
    <row r="350" spans="1:6" x14ac:dyDescent="0.25">
      <c r="A350" t="str">
        <v>2009-01-31</v>
      </c>
      <c r="B350">
        <f ca="1"/>
        <v>6.6100000000000006E-2</v>
      </c>
      <c r="C350">
        <f ca="1"/>
        <v>2.52E-2</v>
      </c>
      <c r="D350">
        <f t="shared" ca="1" si="10"/>
        <v>2.0999999999999999E-3</v>
      </c>
      <c r="E350" s="1">
        <f ca="1"/>
        <v>3.0000000000000001E-3</v>
      </c>
      <c r="F350" s="1">
        <f t="shared" ca="1" si="11"/>
        <v>-9.0000000000000019E-4</v>
      </c>
    </row>
    <row r="351" spans="1:6" x14ac:dyDescent="0.25">
      <c r="A351" t="str">
        <v>2009-02-28</v>
      </c>
      <c r="B351">
        <f ca="1"/>
        <v>6.7900000000000002E-2</v>
      </c>
      <c r="C351">
        <f ca="1"/>
        <v>2.87E-2</v>
      </c>
      <c r="D351">
        <f t="shared" ca="1" si="10"/>
        <v>2.3916666666666665E-3</v>
      </c>
      <c r="E351" s="1">
        <f ca="1"/>
        <v>4.0000000000000001E-3</v>
      </c>
      <c r="F351" s="1">
        <f t="shared" ca="1" si="11"/>
        <v>-1.6083333333333336E-3</v>
      </c>
    </row>
    <row r="352" spans="1:6" x14ac:dyDescent="0.25">
      <c r="A352" t="str">
        <v>2009-03-31</v>
      </c>
      <c r="B352">
        <f ca="1"/>
        <v>7.2599999999999998E-2</v>
      </c>
      <c r="C352">
        <f ca="1"/>
        <v>2.8199999999999999E-2</v>
      </c>
      <c r="D352">
        <f t="shared" ca="1" si="10"/>
        <v>2.3500000000000001E-3</v>
      </c>
      <c r="E352" s="1">
        <f ca="1"/>
        <v>-1E-3</v>
      </c>
      <c r="F352" s="1">
        <f t="shared" ca="1" si="11"/>
        <v>3.3500000000000001E-3</v>
      </c>
    </row>
    <row r="353" spans="1:6" x14ac:dyDescent="0.25">
      <c r="A353" t="str">
        <v>2009-04-30</v>
      </c>
      <c r="B353">
        <f ca="1"/>
        <v>6.2700000000000006E-2</v>
      </c>
      <c r="C353">
        <f ca="1"/>
        <v>2.93E-2</v>
      </c>
      <c r="D353">
        <f t="shared" ca="1" si="10"/>
        <v>2.4416666666666666E-3</v>
      </c>
      <c r="E353" s="1">
        <f ca="1"/>
        <v>1E-3</v>
      </c>
      <c r="F353" s="1">
        <f t="shared" ca="1" si="11"/>
        <v>1.4416666666666666E-3</v>
      </c>
    </row>
    <row r="354" spans="1:6" x14ac:dyDescent="0.25">
      <c r="A354" t="str">
        <v>2009-05-31</v>
      </c>
      <c r="B354">
        <f ca="1"/>
        <v>5.5100000000000003E-2</v>
      </c>
      <c r="C354">
        <f ca="1"/>
        <v>3.2899999999999999E-2</v>
      </c>
      <c r="D354">
        <f t="shared" ca="1" si="10"/>
        <v>2.7416666666666666E-3</v>
      </c>
      <c r="E354" s="1">
        <f ca="1"/>
        <v>1E-3</v>
      </c>
      <c r="F354" s="1">
        <f t="shared" ca="1" si="11"/>
        <v>1.7416666666666665E-3</v>
      </c>
    </row>
    <row r="355" spans="1:6" x14ac:dyDescent="0.25">
      <c r="A355" t="str">
        <v>2009-06-30</v>
      </c>
      <c r="B355">
        <f ca="1"/>
        <v>5.0200000000000002E-2</v>
      </c>
      <c r="C355">
        <f ca="1"/>
        <v>3.7199999999999997E-2</v>
      </c>
      <c r="D355">
        <f t="shared" ca="1" si="10"/>
        <v>3.0999999999999999E-3</v>
      </c>
      <c r="E355" s="1">
        <f ca="1"/>
        <v>8.0000000000000002E-3</v>
      </c>
      <c r="F355" s="1">
        <f t="shared" ca="1" si="11"/>
        <v>-4.8999999999999998E-3</v>
      </c>
    </row>
    <row r="356" spans="1:6" x14ac:dyDescent="0.25">
      <c r="A356" t="str">
        <v>2009-07-31</v>
      </c>
      <c r="B356">
        <f ca="1"/>
        <v>5.0200000000000002E-2</v>
      </c>
      <c r="C356">
        <f ca="1"/>
        <v>3.56E-2</v>
      </c>
      <c r="D356">
        <f t="shared" ca="1" si="10"/>
        <v>2.9666666666666665E-3</v>
      </c>
      <c r="E356" s="1">
        <f ca="1"/>
        <v>0</v>
      </c>
      <c r="F356" s="1">
        <f t="shared" ca="1" si="11"/>
        <v>2.9666666666666665E-3</v>
      </c>
    </row>
    <row r="357" spans="1:6" x14ac:dyDescent="0.25">
      <c r="A357" t="str">
        <v>2009-08-31</v>
      </c>
      <c r="B357">
        <f ca="1"/>
        <v>4.53E-2</v>
      </c>
      <c r="C357">
        <f ca="1"/>
        <v>3.5900000000000001E-2</v>
      </c>
      <c r="D357">
        <f t="shared" ca="1" si="10"/>
        <v>2.9916666666666668E-3</v>
      </c>
      <c r="E357" s="1">
        <f ca="1"/>
        <v>3.0000000000000001E-3</v>
      </c>
      <c r="F357" s="1">
        <f t="shared" ca="1" si="11"/>
        <v>-8.3333333333332829E-6</v>
      </c>
    </row>
    <row r="358" spans="1:6" x14ac:dyDescent="0.25">
      <c r="A358" t="str">
        <v>2009-09-30</v>
      </c>
      <c r="B358">
        <f ca="1"/>
        <v>4.4600000000000001E-2</v>
      </c>
      <c r="C358">
        <f ca="1"/>
        <v>3.4000000000000002E-2</v>
      </c>
      <c r="D358">
        <f t="shared" ca="1" si="10"/>
        <v>2.8333333333333335E-3</v>
      </c>
      <c r="E358" s="1">
        <f ca="1"/>
        <v>2E-3</v>
      </c>
      <c r="F358" s="1">
        <f t="shared" ca="1" si="11"/>
        <v>8.333333333333335E-4</v>
      </c>
    </row>
    <row r="359" spans="1:6" x14ac:dyDescent="0.25">
      <c r="A359" t="str">
        <v>2009-10-31</v>
      </c>
      <c r="B359">
        <f ca="1"/>
        <v>4.3200000000000002E-2</v>
      </c>
      <c r="C359">
        <f ca="1"/>
        <v>3.39E-2</v>
      </c>
      <c r="D359">
        <f t="shared" ca="1" si="10"/>
        <v>2.8249999999999998E-3</v>
      </c>
      <c r="E359" s="1">
        <f ca="1"/>
        <v>3.0000000000000001E-3</v>
      </c>
      <c r="F359" s="1">
        <f t="shared" ca="1" si="11"/>
        <v>-1.7500000000000024E-4</v>
      </c>
    </row>
    <row r="360" spans="1:6" x14ac:dyDescent="0.25">
      <c r="A360" t="str">
        <v>2009-11-30</v>
      </c>
      <c r="B360">
        <f ca="1"/>
        <v>4.19E-2</v>
      </c>
      <c r="C360">
        <f ca="1"/>
        <v>3.4000000000000002E-2</v>
      </c>
      <c r="D360">
        <f t="shared" ca="1" si="10"/>
        <v>2.8333333333333335E-3</v>
      </c>
      <c r="E360" s="1">
        <f ca="1"/>
        <v>3.0000000000000001E-3</v>
      </c>
      <c r="F360" s="1">
        <f t="shared" ca="1" si="11"/>
        <v>-1.6666666666666653E-4</v>
      </c>
    </row>
    <row r="361" spans="1:6" x14ac:dyDescent="0.25">
      <c r="A361" t="str">
        <v>2009-12-31</v>
      </c>
      <c r="B361">
        <f ca="1"/>
        <v>3.85E-2</v>
      </c>
      <c r="C361">
        <f ca="1"/>
        <v>3.5900000000000001E-2</v>
      </c>
      <c r="D361">
        <f t="shared" ca="1" si="10"/>
        <v>2.9916666666666668E-3</v>
      </c>
      <c r="E361" s="1">
        <f ca="1"/>
        <v>1E-3</v>
      </c>
      <c r="F361" s="1">
        <f t="shared" ca="1" si="11"/>
        <v>1.9916666666666668E-3</v>
      </c>
    </row>
    <row r="362" spans="1:6" x14ac:dyDescent="0.25">
      <c r="A362" t="str">
        <v>2010-01-31</v>
      </c>
      <c r="B362">
        <f ca="1"/>
        <v>3.6700000000000003E-2</v>
      </c>
      <c r="C362">
        <f ca="1"/>
        <v>3.73E-2</v>
      </c>
      <c r="D362">
        <f t="shared" ca="1" si="10"/>
        <v>3.1083333333333332E-3</v>
      </c>
      <c r="E362" s="1">
        <f ca="1"/>
        <v>1E-3</v>
      </c>
      <c r="F362" s="1">
        <f t="shared" ca="1" si="11"/>
        <v>2.1083333333333332E-3</v>
      </c>
    </row>
    <row r="363" spans="1:6" x14ac:dyDescent="0.25">
      <c r="A363" t="str">
        <v>2010-02-28</v>
      </c>
      <c r="B363">
        <f ca="1"/>
        <v>3.7999999999999999E-2</v>
      </c>
      <c r="C363">
        <f ca="1"/>
        <v>3.6900000000000002E-2</v>
      </c>
      <c r="D363">
        <f t="shared" ca="1" si="10"/>
        <v>3.075E-3</v>
      </c>
      <c r="E363" s="1">
        <f ca="1"/>
        <v>-1E-3</v>
      </c>
      <c r="F363" s="1">
        <f t="shared" ca="1" si="11"/>
        <v>4.0750000000000005E-3</v>
      </c>
    </row>
    <row r="364" spans="1:6" x14ac:dyDescent="0.25">
      <c r="A364" t="str">
        <v>2010-03-31</v>
      </c>
      <c r="B364">
        <f ca="1"/>
        <v>3.4599999999999999E-2</v>
      </c>
      <c r="C364">
        <f ca="1"/>
        <v>3.73E-2</v>
      </c>
      <c r="D364">
        <f t="shared" ca="1" si="10"/>
        <v>3.1083333333333332E-3</v>
      </c>
      <c r="E364" s="1">
        <f ca="1"/>
        <v>0</v>
      </c>
      <c r="F364" s="1">
        <f t="shared" ca="1" si="11"/>
        <v>3.1083333333333332E-3</v>
      </c>
    </row>
    <row r="365" spans="1:6" x14ac:dyDescent="0.25">
      <c r="A365" t="str">
        <v>2010-04-30</v>
      </c>
      <c r="B365">
        <f ca="1"/>
        <v>3.1800000000000002E-2</v>
      </c>
      <c r="C365">
        <f ca="1"/>
        <v>3.85E-2</v>
      </c>
      <c r="D365">
        <f t="shared" ca="1" si="10"/>
        <v>3.2083333333333334E-3</v>
      </c>
      <c r="E365" s="1">
        <f ca="1"/>
        <v>0</v>
      </c>
      <c r="F365" s="1">
        <f t="shared" ca="1" si="11"/>
        <v>3.2083333333333334E-3</v>
      </c>
    </row>
    <row r="366" spans="1:6" x14ac:dyDescent="0.25">
      <c r="A366" t="str">
        <v>2010-05-31</v>
      </c>
      <c r="B366">
        <f ca="1"/>
        <v>3.9E-2</v>
      </c>
      <c r="C366">
        <f ca="1"/>
        <v>3.4200000000000001E-2</v>
      </c>
      <c r="D366">
        <f t="shared" ca="1" si="10"/>
        <v>2.8500000000000001E-3</v>
      </c>
      <c r="E366" s="1">
        <f ca="1"/>
        <v>-1E-3</v>
      </c>
      <c r="F366" s="1">
        <f t="shared" ca="1" si="11"/>
        <v>3.8500000000000001E-3</v>
      </c>
    </row>
    <row r="367" spans="1:6" x14ac:dyDescent="0.25">
      <c r="A367" t="str">
        <v>2010-06-30</v>
      </c>
      <c r="B367">
        <f ca="1"/>
        <v>4.24E-2</v>
      </c>
      <c r="C367">
        <f ca="1"/>
        <v>3.2000000000000001E-2</v>
      </c>
      <c r="D367">
        <f t="shared" ca="1" si="10"/>
        <v>2.6666666666666666E-3</v>
      </c>
      <c r="E367" s="1">
        <f ca="1"/>
        <v>0</v>
      </c>
      <c r="F367" s="1">
        <f t="shared" ca="1" si="11"/>
        <v>2.6666666666666666E-3</v>
      </c>
    </row>
    <row r="368" spans="1:6" x14ac:dyDescent="0.25">
      <c r="A368" t="str">
        <v>2010-07-31</v>
      </c>
      <c r="B368">
        <f ca="1"/>
        <v>4.4299999999999999E-2</v>
      </c>
      <c r="C368">
        <f ca="1"/>
        <v>3.0099999999999998E-2</v>
      </c>
      <c r="D368">
        <f t="shared" ca="1" si="10"/>
        <v>2.5083333333333333E-3</v>
      </c>
      <c r="E368" s="1">
        <f ca="1"/>
        <v>2E-3</v>
      </c>
      <c r="F368" s="1">
        <f t="shared" ca="1" si="11"/>
        <v>5.0833333333333329E-4</v>
      </c>
    </row>
    <row r="369" spans="1:6" x14ac:dyDescent="0.25">
      <c r="A369" t="str">
        <v>2010-08-31</v>
      </c>
      <c r="B369">
        <f ca="1"/>
        <v>4.7199999999999999E-2</v>
      </c>
      <c r="C369">
        <f ca="1"/>
        <v>2.7E-2</v>
      </c>
      <c r="D369">
        <f t="shared" ca="1" si="10"/>
        <v>2.2499999999999998E-3</v>
      </c>
      <c r="E369" s="1">
        <f ca="1"/>
        <v>1E-3</v>
      </c>
      <c r="F369" s="1">
        <f t="shared" ca="1" si="11"/>
        <v>1.2499999999999998E-3</v>
      </c>
    </row>
    <row r="370" spans="1:6" x14ac:dyDescent="0.25">
      <c r="A370" t="str">
        <v>2010-09-30</v>
      </c>
      <c r="B370">
        <f ca="1"/>
        <v>4.5699999999999998E-2</v>
      </c>
      <c r="C370">
        <f ca="1"/>
        <v>2.6499999999999999E-2</v>
      </c>
      <c r="D370">
        <f t="shared" ca="1" si="10"/>
        <v>2.2083333333333334E-3</v>
      </c>
      <c r="E370" s="1">
        <f ca="1"/>
        <v>2E-3</v>
      </c>
      <c r="F370" s="1">
        <f t="shared" ca="1" si="11"/>
        <v>2.0833333333333337E-4</v>
      </c>
    </row>
    <row r="371" spans="1:6" x14ac:dyDescent="0.25">
      <c r="A371" t="str">
        <v>2010-10-31</v>
      </c>
      <c r="B371">
        <f ca="1"/>
        <v>4.48E-2</v>
      </c>
      <c r="C371">
        <f ca="1"/>
        <v>2.5399999999999999E-2</v>
      </c>
      <c r="D371">
        <f t="shared" ca="1" si="10"/>
        <v>2.1166666666666664E-3</v>
      </c>
      <c r="E371" s="1">
        <f ca="1"/>
        <v>3.0000000000000001E-3</v>
      </c>
      <c r="F371" s="1">
        <f t="shared" ca="1" si="11"/>
        <v>-8.8333333333333363E-4</v>
      </c>
    </row>
    <row r="372" spans="1:6" x14ac:dyDescent="0.25">
      <c r="A372" t="str">
        <v>2010-11-30</v>
      </c>
      <c r="B372">
        <f ca="1"/>
        <v>4.1599999999999998E-2</v>
      </c>
      <c r="C372">
        <f ca="1"/>
        <v>2.76E-2</v>
      </c>
      <c r="D372">
        <f t="shared" ca="1" si="10"/>
        <v>2.3E-3</v>
      </c>
      <c r="E372" s="1">
        <f ca="1"/>
        <v>3.0000000000000001E-3</v>
      </c>
      <c r="F372" s="1">
        <f t="shared" ca="1" si="11"/>
        <v>-7.000000000000001E-4</v>
      </c>
    </row>
    <row r="373" spans="1:6" x14ac:dyDescent="0.25">
      <c r="A373" t="str">
        <v>2010-12-31</v>
      </c>
      <c r="B373">
        <f ca="1"/>
        <v>3.5099999999999999E-2</v>
      </c>
      <c r="C373">
        <f ca="1"/>
        <v>3.2899999999999999E-2</v>
      </c>
      <c r="D373">
        <f t="shared" ca="1" si="10"/>
        <v>2.7416666666666666E-3</v>
      </c>
      <c r="E373" s="1">
        <f ca="1"/>
        <v>4.0000000000000001E-3</v>
      </c>
      <c r="F373" s="1">
        <f t="shared" ca="1" si="11"/>
        <v>-1.2583333333333335E-3</v>
      </c>
    </row>
    <row r="374" spans="1:6" x14ac:dyDescent="0.25">
      <c r="A374" t="str">
        <v>2011-01-31</v>
      </c>
      <c r="B374">
        <f ca="1"/>
        <v>3.2800000000000003E-2</v>
      </c>
      <c r="C374">
        <f ca="1"/>
        <v>3.39E-2</v>
      </c>
      <c r="D374">
        <f t="shared" ca="1" si="10"/>
        <v>2.8249999999999998E-3</v>
      </c>
      <c r="E374" s="1">
        <f ca="1"/>
        <v>3.0000000000000001E-3</v>
      </c>
      <c r="F374" s="1">
        <f t="shared" ca="1" si="11"/>
        <v>-1.7500000000000024E-4</v>
      </c>
    </row>
    <row r="375" spans="1:6" x14ac:dyDescent="0.25">
      <c r="A375" t="str">
        <v>2011-02-28</v>
      </c>
      <c r="B375">
        <f ca="1"/>
        <v>3.0099999999999998E-2</v>
      </c>
      <c r="C375">
        <f ca="1"/>
        <v>3.5799999999999998E-2</v>
      </c>
      <c r="D375">
        <f t="shared" ca="1" si="10"/>
        <v>2.9833333333333331E-3</v>
      </c>
      <c r="E375" s="1">
        <f ca="1"/>
        <v>3.0000000000000001E-3</v>
      </c>
      <c r="F375" s="1">
        <f t="shared" ca="1" si="11"/>
        <v>-1.6666666666667E-5</v>
      </c>
    </row>
    <row r="376" spans="1:6" x14ac:dyDescent="0.25">
      <c r="A376" t="str">
        <v>2011-03-31</v>
      </c>
      <c r="B376">
        <f ca="1"/>
        <v>3.3599999999999998E-2</v>
      </c>
      <c r="C376">
        <f ca="1"/>
        <v>3.4099999999999998E-2</v>
      </c>
      <c r="D376">
        <f t="shared" ca="1" si="10"/>
        <v>2.8416666666666664E-3</v>
      </c>
      <c r="E376" s="1">
        <f ca="1"/>
        <v>5.0000000000000001E-3</v>
      </c>
      <c r="F376" s="1">
        <f t="shared" ca="1" si="11"/>
        <v>-2.1583333333333337E-3</v>
      </c>
    </row>
    <row r="377" spans="1:6" x14ac:dyDescent="0.25">
      <c r="A377" t="str">
        <v>2011-04-30</v>
      </c>
      <c r="B377">
        <f ca="1"/>
        <v>3.2899999999999999E-2</v>
      </c>
      <c r="C377">
        <f ca="1"/>
        <v>3.4599999999999999E-2</v>
      </c>
      <c r="D377">
        <f t="shared" ca="1" si="10"/>
        <v>2.8833333333333332E-3</v>
      </c>
      <c r="E377" s="1">
        <f ca="1"/>
        <v>5.0000000000000001E-3</v>
      </c>
      <c r="F377" s="1">
        <f t="shared" ca="1" si="11"/>
        <v>-2.1166666666666669E-3</v>
      </c>
    </row>
    <row r="378" spans="1:6" x14ac:dyDescent="0.25">
      <c r="A378" t="str">
        <v>2011-05-31</v>
      </c>
      <c r="B378">
        <f ca="1"/>
        <v>3.5999999999999997E-2</v>
      </c>
      <c r="C378">
        <f ca="1"/>
        <v>3.1699999999999999E-2</v>
      </c>
      <c r="D378">
        <f t="shared" ca="1" si="10"/>
        <v>2.6416666666666667E-3</v>
      </c>
      <c r="E378" s="1">
        <f ca="1"/>
        <v>3.0000000000000001E-3</v>
      </c>
      <c r="F378" s="1">
        <f t="shared" ca="1" si="11"/>
        <v>-3.5833333333333333E-4</v>
      </c>
    </row>
    <row r="379" spans="1:6" x14ac:dyDescent="0.25">
      <c r="A379" t="str">
        <v>2011-06-30</v>
      </c>
      <c r="B379">
        <f ca="1"/>
        <v>3.9300000000000002E-2</v>
      </c>
      <c r="C379">
        <f ca="1"/>
        <v>0.03</v>
      </c>
      <c r="D379">
        <f t="shared" ca="1" si="10"/>
        <v>2.5000000000000001E-3</v>
      </c>
      <c r="E379" s="1">
        <f ca="1"/>
        <v>0</v>
      </c>
      <c r="F379" s="1">
        <f t="shared" ca="1" si="11"/>
        <v>2.5000000000000001E-3</v>
      </c>
    </row>
    <row r="380" spans="1:6" x14ac:dyDescent="0.25">
      <c r="A380" t="str">
        <v>2011-07-31</v>
      </c>
      <c r="B380">
        <f ca="1"/>
        <v>3.8600000000000002E-2</v>
      </c>
      <c r="C380">
        <f ca="1"/>
        <v>0.03</v>
      </c>
      <c r="D380">
        <f t="shared" ca="1" si="10"/>
        <v>2.5000000000000001E-3</v>
      </c>
      <c r="E380" s="1">
        <f ca="1"/>
        <v>3.0000000000000001E-3</v>
      </c>
      <c r="F380" s="1">
        <f t="shared" ca="1" si="11"/>
        <v>-5.0000000000000001E-4</v>
      </c>
    </row>
    <row r="381" spans="1:6" x14ac:dyDescent="0.25">
      <c r="A381" t="str">
        <v>2011-08-31</v>
      </c>
      <c r="B381">
        <f ca="1"/>
        <v>5.16E-2</v>
      </c>
      <c r="C381">
        <f ca="1"/>
        <v>2.3E-2</v>
      </c>
      <c r="D381">
        <f t="shared" ca="1" si="10"/>
        <v>1.9166666666666666E-3</v>
      </c>
      <c r="E381" s="1">
        <f ca="1"/>
        <v>3.0000000000000001E-3</v>
      </c>
      <c r="F381" s="1">
        <f t="shared" ca="1" si="11"/>
        <v>-1.0833333333333335E-3</v>
      </c>
    </row>
    <row r="382" spans="1:6" x14ac:dyDescent="0.25">
      <c r="A382" t="str">
        <v>2011-09-30</v>
      </c>
      <c r="B382">
        <f ca="1"/>
        <v>5.5399999999999998E-2</v>
      </c>
      <c r="C382">
        <f ca="1"/>
        <v>1.9800000000000002E-2</v>
      </c>
      <c r="D382">
        <f t="shared" ca="1" si="10"/>
        <v>1.6500000000000002E-3</v>
      </c>
      <c r="E382" s="1">
        <f ca="1"/>
        <v>2E-3</v>
      </c>
      <c r="F382" s="1">
        <f t="shared" ca="1" si="11"/>
        <v>-3.4999999999999983E-4</v>
      </c>
    </row>
    <row r="383" spans="1:6" x14ac:dyDescent="0.25">
      <c r="A383" t="str">
        <v>2011-10-31</v>
      </c>
      <c r="B383">
        <f ca="1"/>
        <v>5.2600000000000001E-2</v>
      </c>
      <c r="C383">
        <f ca="1"/>
        <v>2.1499999999999998E-2</v>
      </c>
      <c r="D383">
        <f t="shared" ca="1" si="10"/>
        <v>1.7916666666666665E-3</v>
      </c>
      <c r="E383" s="1">
        <f ca="1"/>
        <v>1E-3</v>
      </c>
      <c r="F383" s="1">
        <f t="shared" ca="1" si="11"/>
        <v>7.9166666666666643E-4</v>
      </c>
    </row>
    <row r="384" spans="1:6" x14ac:dyDescent="0.25">
      <c r="A384" t="str">
        <v>2011-11-30</v>
      </c>
      <c r="B384">
        <f ca="1"/>
        <v>5.3699999999999998E-2</v>
      </c>
      <c r="C384">
        <f ca="1"/>
        <v>2.01E-2</v>
      </c>
      <c r="D384">
        <f t="shared" ca="1" si="10"/>
        <v>1.6750000000000001E-3</v>
      </c>
      <c r="E384" s="1">
        <f ca="1"/>
        <v>2E-3</v>
      </c>
      <c r="F384" s="1">
        <f t="shared" ca="1" si="11"/>
        <v>-3.2499999999999999E-4</v>
      </c>
    </row>
    <row r="385" spans="1:6" x14ac:dyDescent="0.25">
      <c r="A385" t="str">
        <v>2011-12-31</v>
      </c>
      <c r="B385">
        <f ca="1"/>
        <v>5.3699999999999998E-2</v>
      </c>
      <c r="C385">
        <f ca="1"/>
        <v>1.9800000000000002E-2</v>
      </c>
      <c r="D385">
        <f t="shared" ca="1" si="10"/>
        <v>1.6500000000000002E-3</v>
      </c>
      <c r="E385" s="1">
        <f ca="1"/>
        <v>0</v>
      </c>
      <c r="F385" s="1">
        <f t="shared" ca="1" si="11"/>
        <v>1.6500000000000002E-3</v>
      </c>
    </row>
    <row r="386" spans="1:6" x14ac:dyDescent="0.25">
      <c r="A386" t="str">
        <v>2012-01-31</v>
      </c>
      <c r="B386">
        <f ca="1"/>
        <v>5.2400000000000002E-2</v>
      </c>
      <c r="C386">
        <f ca="1"/>
        <v>1.9699999999999999E-2</v>
      </c>
      <c r="D386">
        <f t="shared" ca="1" si="10"/>
        <v>1.6416666666666665E-3</v>
      </c>
      <c r="E386" s="1">
        <f ca="1"/>
        <v>3.0000000000000001E-3</v>
      </c>
      <c r="F386" s="1">
        <f t="shared" ca="1" si="11"/>
        <v>-1.3583333333333336E-3</v>
      </c>
    </row>
    <row r="387" spans="1:6" x14ac:dyDescent="0.25">
      <c r="A387" t="str">
        <v>2012-02-29</v>
      </c>
      <c r="B387">
        <f ca="1"/>
        <v>5.1200000000000002E-2</v>
      </c>
      <c r="C387">
        <f ca="1"/>
        <v>1.9699999999999999E-2</v>
      </c>
      <c r="D387">
        <f t="shared" ref="D387:D450" ca="1" si="12">C387/12</f>
        <v>1.6416666666666665E-3</v>
      </c>
      <c r="E387" s="1">
        <f ca="1"/>
        <v>2E-3</v>
      </c>
      <c r="F387" s="1">
        <f t="shared" ref="F387:F450" ca="1" si="13">D387-E387</f>
        <v>-3.5833333333333355E-4</v>
      </c>
    </row>
    <row r="388" spans="1:6" x14ac:dyDescent="0.25">
      <c r="A388" t="str">
        <v>2012-03-31</v>
      </c>
      <c r="B388">
        <f ca="1"/>
        <v>4.8899999999999999E-2</v>
      </c>
      <c r="C388">
        <f ca="1"/>
        <v>2.1700000000000001E-2</v>
      </c>
      <c r="D388">
        <f t="shared" ca="1" si="12"/>
        <v>1.8083333333333335E-3</v>
      </c>
      <c r="E388" s="1">
        <f ca="1"/>
        <v>2E-3</v>
      </c>
      <c r="F388" s="1">
        <f t="shared" ca="1" si="13"/>
        <v>-1.9166666666666659E-4</v>
      </c>
    </row>
    <row r="389" spans="1:6" x14ac:dyDescent="0.25">
      <c r="A389" t="str">
        <v>2012-04-30</v>
      </c>
      <c r="B389">
        <f ca="1"/>
        <v>5.04E-2</v>
      </c>
      <c r="C389">
        <f ca="1"/>
        <v>2.0500000000000001E-2</v>
      </c>
      <c r="D389">
        <f t="shared" ca="1" si="12"/>
        <v>1.7083333333333334E-3</v>
      </c>
      <c r="E389" s="1">
        <f ca="1"/>
        <v>2E-3</v>
      </c>
      <c r="F389" s="1">
        <f t="shared" ca="1" si="13"/>
        <v>-2.9166666666666664E-4</v>
      </c>
    </row>
    <row r="390" spans="1:6" x14ac:dyDescent="0.25">
      <c r="A390" t="str">
        <v>2012-05-31</v>
      </c>
      <c r="B390">
        <f ca="1"/>
        <v>5.4600000000000003E-2</v>
      </c>
      <c r="C390">
        <f ca="1"/>
        <v>1.7999999999999999E-2</v>
      </c>
      <c r="D390">
        <f t="shared" ca="1" si="12"/>
        <v>1.4999999999999998E-3</v>
      </c>
      <c r="E390" s="1">
        <f ca="1"/>
        <v>-2E-3</v>
      </c>
      <c r="F390" s="1">
        <f t="shared" ca="1" si="13"/>
        <v>3.4999999999999996E-3</v>
      </c>
    </row>
    <row r="391" spans="1:6" x14ac:dyDescent="0.25">
      <c r="A391" t="str">
        <v>2012-06-30</v>
      </c>
      <c r="B391">
        <f ca="1"/>
        <v>5.7099999999999998E-2</v>
      </c>
      <c r="C391">
        <f ca="1"/>
        <v>1.6199999999999999E-2</v>
      </c>
      <c r="D391">
        <f t="shared" ca="1" si="12"/>
        <v>1.3499999999999999E-3</v>
      </c>
      <c r="E391" s="1">
        <f ca="1"/>
        <v>-1E-3</v>
      </c>
      <c r="F391" s="1">
        <f t="shared" ca="1" si="13"/>
        <v>2.3499999999999997E-3</v>
      </c>
    </row>
    <row r="392" spans="1:6" x14ac:dyDescent="0.25">
      <c r="A392" t="str">
        <v>2012-07-31</v>
      </c>
      <c r="B392">
        <f ca="1"/>
        <v>5.67E-2</v>
      </c>
      <c r="C392">
        <f ca="1"/>
        <v>1.5299999999999999E-2</v>
      </c>
      <c r="D392">
        <f t="shared" ca="1" si="12"/>
        <v>1.2749999999999999E-3</v>
      </c>
      <c r="E392" s="1">
        <f ca="1"/>
        <v>0</v>
      </c>
      <c r="F392" s="1">
        <f t="shared" ca="1" si="13"/>
        <v>1.2749999999999999E-3</v>
      </c>
    </row>
    <row r="393" spans="1:6" x14ac:dyDescent="0.25">
      <c r="A393" t="str">
        <v>2012-08-31</v>
      </c>
      <c r="B393">
        <f ca="1"/>
        <v>5.45E-2</v>
      </c>
      <c r="C393">
        <f ca="1"/>
        <v>1.6799999999999999E-2</v>
      </c>
      <c r="D393">
        <f t="shared" ca="1" si="12"/>
        <v>1.4E-3</v>
      </c>
      <c r="E393" s="1">
        <f ca="1"/>
        <v>6.0000000000000001E-3</v>
      </c>
      <c r="F393" s="1">
        <f t="shared" ca="1" si="13"/>
        <v>-4.5999999999999999E-3</v>
      </c>
    </row>
    <row r="394" spans="1:6" x14ac:dyDescent="0.25">
      <c r="A394" t="str">
        <v>2012-09-30</v>
      </c>
      <c r="B394">
        <f ca="1"/>
        <v>5.3600000000000002E-2</v>
      </c>
      <c r="C394">
        <f ca="1"/>
        <v>1.72E-2</v>
      </c>
      <c r="D394">
        <f t="shared" ca="1" si="12"/>
        <v>1.4333333333333333E-3</v>
      </c>
      <c r="E394" s="1">
        <f ca="1"/>
        <v>5.0000000000000001E-3</v>
      </c>
      <c r="F394" s="1">
        <f t="shared" ca="1" si="13"/>
        <v>-3.5666666666666668E-3</v>
      </c>
    </row>
    <row r="395" spans="1:6" x14ac:dyDescent="0.25">
      <c r="A395" t="str">
        <v>2012-10-31</v>
      </c>
      <c r="B395">
        <f ca="1"/>
        <v>5.3499999999999999E-2</v>
      </c>
      <c r="C395">
        <f ca="1"/>
        <v>1.7500000000000002E-2</v>
      </c>
      <c r="D395">
        <f t="shared" ca="1" si="12"/>
        <v>1.4583333333333334E-3</v>
      </c>
      <c r="E395" s="1">
        <f ca="1"/>
        <v>3.0000000000000001E-3</v>
      </c>
      <c r="F395" s="1">
        <f t="shared" ca="1" si="13"/>
        <v>-1.5416666666666667E-3</v>
      </c>
    </row>
    <row r="396" spans="1:6" x14ac:dyDescent="0.25">
      <c r="A396" t="str">
        <v>2012-11-30</v>
      </c>
      <c r="B396">
        <f ca="1"/>
        <v>5.5500000000000001E-2</v>
      </c>
      <c r="C396">
        <f ca="1"/>
        <v>1.6500000000000001E-2</v>
      </c>
      <c r="D396">
        <f t="shared" ca="1" si="12"/>
        <v>1.3750000000000001E-3</v>
      </c>
      <c r="E396" s="1">
        <f ca="1"/>
        <v>-2E-3</v>
      </c>
      <c r="F396" s="1">
        <f t="shared" ca="1" si="13"/>
        <v>3.3750000000000004E-3</v>
      </c>
    </row>
    <row r="397" spans="1:6" x14ac:dyDescent="0.25">
      <c r="A397" t="str">
        <v>2012-12-31</v>
      </c>
      <c r="B397">
        <f ca="1"/>
        <v>5.3999999999999999E-2</v>
      </c>
      <c r="C397">
        <f ca="1"/>
        <v>1.72E-2</v>
      </c>
      <c r="D397">
        <f t="shared" ca="1" si="12"/>
        <v>1.4333333333333333E-3</v>
      </c>
      <c r="E397" s="1">
        <f ca="1"/>
        <v>0</v>
      </c>
      <c r="F397" s="1">
        <f t="shared" ca="1" si="13"/>
        <v>1.4333333333333333E-3</v>
      </c>
    </row>
    <row r="398" spans="1:6" x14ac:dyDescent="0.25">
      <c r="A398" t="str">
        <v>2013-01-31</v>
      </c>
      <c r="B398">
        <f ca="1"/>
        <v>5.0500000000000003E-2</v>
      </c>
      <c r="C398">
        <f ca="1"/>
        <v>1.9099999999999999E-2</v>
      </c>
      <c r="D398">
        <f t="shared" ca="1" si="12"/>
        <v>1.5916666666666666E-3</v>
      </c>
      <c r="E398" s="1">
        <f ca="1"/>
        <v>2E-3</v>
      </c>
      <c r="F398" s="1">
        <f t="shared" ca="1" si="13"/>
        <v>-4.0833333333333346E-4</v>
      </c>
    </row>
    <row r="399" spans="1:6" x14ac:dyDescent="0.25">
      <c r="A399" t="str">
        <v>2013-02-28</v>
      </c>
      <c r="B399">
        <f ca="1"/>
        <v>4.9599999999999998E-2</v>
      </c>
      <c r="C399">
        <f ca="1"/>
        <v>1.9800000000000002E-2</v>
      </c>
      <c r="D399">
        <f t="shared" ca="1" si="12"/>
        <v>1.6500000000000002E-3</v>
      </c>
      <c r="E399" s="1">
        <f ca="1"/>
        <v>5.0000000000000001E-3</v>
      </c>
      <c r="F399" s="1">
        <f t="shared" ca="1" si="13"/>
        <v>-3.3499999999999997E-3</v>
      </c>
    </row>
    <row r="400" spans="1:6" x14ac:dyDescent="0.25">
      <c r="A400" t="str">
        <v>2013-03-31</v>
      </c>
      <c r="B400">
        <f ca="1"/>
        <v>4.87E-2</v>
      </c>
      <c r="C400">
        <f ca="1"/>
        <v>1.9599999999999999E-2</v>
      </c>
      <c r="D400">
        <f t="shared" ca="1" si="12"/>
        <v>1.6333333333333332E-3</v>
      </c>
      <c r="E400" s="1">
        <f ca="1"/>
        <v>-3.0000000000000001E-3</v>
      </c>
      <c r="F400" s="1">
        <f t="shared" ca="1" si="13"/>
        <v>4.6333333333333331E-3</v>
      </c>
    </row>
    <row r="401" spans="1:6" x14ac:dyDescent="0.25">
      <c r="A401" t="str">
        <v>2013-04-30</v>
      </c>
      <c r="B401">
        <f ca="1"/>
        <v>5.0500000000000003E-2</v>
      </c>
      <c r="C401">
        <f ca="1"/>
        <v>1.7600000000000001E-2</v>
      </c>
      <c r="D401">
        <f t="shared" ca="1" si="12"/>
        <v>1.4666666666666667E-3</v>
      </c>
      <c r="E401" s="1">
        <f ca="1"/>
        <v>-2E-3</v>
      </c>
      <c r="F401" s="1">
        <f t="shared" ca="1" si="13"/>
        <v>3.4666666666666665E-3</v>
      </c>
    </row>
    <row r="402" spans="1:6" x14ac:dyDescent="0.25">
      <c r="A402" t="str">
        <v>2013-05-31</v>
      </c>
      <c r="B402">
        <f ca="1"/>
        <v>4.7600000000000003E-2</v>
      </c>
      <c r="C402">
        <f ca="1"/>
        <v>1.9300000000000001E-2</v>
      </c>
      <c r="D402">
        <f t="shared" ca="1" si="12"/>
        <v>1.6083333333333334E-3</v>
      </c>
      <c r="E402" s="1">
        <f ca="1"/>
        <v>0</v>
      </c>
      <c r="F402" s="1">
        <f t="shared" ca="1" si="13"/>
        <v>1.6083333333333334E-3</v>
      </c>
    </row>
    <row r="403" spans="1:6" x14ac:dyDescent="0.25">
      <c r="A403" t="str">
        <v>2013-06-30</v>
      </c>
      <c r="B403">
        <f ca="1"/>
        <v>4.4900000000000002E-2</v>
      </c>
      <c r="C403">
        <f ca="1"/>
        <v>2.3E-2</v>
      </c>
      <c r="D403">
        <f t="shared" ca="1" si="12"/>
        <v>1.9166666666666666E-3</v>
      </c>
      <c r="E403" s="1">
        <f ca="1"/>
        <v>2E-3</v>
      </c>
      <c r="F403" s="1">
        <f t="shared" ca="1" si="13"/>
        <v>-8.333333333333348E-5</v>
      </c>
    </row>
    <row r="404" spans="1:6" x14ac:dyDescent="0.25">
      <c r="A404" t="str">
        <v>2013-07-31</v>
      </c>
      <c r="B404">
        <f ca="1"/>
        <v>4.1000000000000002E-2</v>
      </c>
      <c r="C404">
        <f ca="1"/>
        <v>2.58E-2</v>
      </c>
      <c r="D404">
        <f t="shared" ca="1" si="12"/>
        <v>2.15E-3</v>
      </c>
      <c r="E404" s="1">
        <f ca="1"/>
        <v>2E-3</v>
      </c>
      <c r="F404" s="1">
        <f t="shared" ca="1" si="13"/>
        <v>1.4999999999999996E-4</v>
      </c>
    </row>
    <row r="405" spans="1:6" x14ac:dyDescent="0.25">
      <c r="A405" t="str">
        <v>2013-08-31</v>
      </c>
      <c r="B405">
        <f ca="1"/>
        <v>3.9399999999999998E-2</v>
      </c>
      <c r="C405">
        <f ca="1"/>
        <v>2.7400000000000001E-2</v>
      </c>
      <c r="D405">
        <f t="shared" ca="1" si="12"/>
        <v>2.2833333333333334E-3</v>
      </c>
      <c r="E405" s="1">
        <f ca="1"/>
        <v>2E-3</v>
      </c>
      <c r="F405" s="1">
        <f t="shared" ca="1" si="13"/>
        <v>2.8333333333333335E-4</v>
      </c>
    </row>
    <row r="406" spans="1:6" x14ac:dyDescent="0.25">
      <c r="A406" t="str">
        <v>2013-09-30</v>
      </c>
      <c r="B406">
        <f ca="1"/>
        <v>3.8300000000000001E-2</v>
      </c>
      <c r="C406">
        <f ca="1"/>
        <v>2.81E-2</v>
      </c>
      <c r="D406">
        <f t="shared" ca="1" si="12"/>
        <v>2.3416666666666668E-3</v>
      </c>
      <c r="E406" s="1">
        <f ca="1"/>
        <v>0</v>
      </c>
      <c r="F406" s="1">
        <f t="shared" ca="1" si="13"/>
        <v>2.3416666666666668E-3</v>
      </c>
    </row>
    <row r="407" spans="1:6" x14ac:dyDescent="0.25">
      <c r="A407" t="str">
        <v>2013-10-31</v>
      </c>
      <c r="B407">
        <f ca="1"/>
        <v>3.9300000000000002E-2</v>
      </c>
      <c r="C407">
        <f ca="1"/>
        <v>2.6200000000000001E-2</v>
      </c>
      <c r="D407">
        <f t="shared" ca="1" si="12"/>
        <v>2.1833333333333336E-3</v>
      </c>
      <c r="E407" s="1">
        <f ca="1"/>
        <v>1E-3</v>
      </c>
      <c r="F407" s="1">
        <f t="shared" ca="1" si="13"/>
        <v>1.1833333333333335E-3</v>
      </c>
    </row>
    <row r="408" spans="1:6" x14ac:dyDescent="0.25">
      <c r="A408" t="str">
        <v>2013-11-30</v>
      </c>
      <c r="B408">
        <f ca="1"/>
        <v>3.6999999999999998E-2</v>
      </c>
      <c r="C408">
        <f ca="1"/>
        <v>2.7199999999999998E-2</v>
      </c>
      <c r="D408">
        <f t="shared" ca="1" si="12"/>
        <v>2.2666666666666664E-3</v>
      </c>
      <c r="E408" s="1">
        <f ca="1"/>
        <v>2E-3</v>
      </c>
      <c r="F408" s="1">
        <f t="shared" ca="1" si="13"/>
        <v>2.6666666666666635E-4</v>
      </c>
    </row>
    <row r="409" spans="1:6" x14ac:dyDescent="0.25">
      <c r="A409" t="str">
        <v>2013-12-31</v>
      </c>
      <c r="B409">
        <f ca="1"/>
        <v>3.5000000000000003E-2</v>
      </c>
      <c r="C409">
        <f ca="1"/>
        <v>2.9000000000000001E-2</v>
      </c>
      <c r="D409">
        <f t="shared" ca="1" si="12"/>
        <v>2.4166666666666668E-3</v>
      </c>
      <c r="E409" s="1">
        <f ca="1"/>
        <v>3.0000000000000001E-3</v>
      </c>
      <c r="F409" s="1">
        <f t="shared" ca="1" si="13"/>
        <v>-5.8333333333333327E-4</v>
      </c>
    </row>
    <row r="410" spans="1:6" x14ac:dyDescent="0.25">
      <c r="A410" t="str">
        <v>2014-01-31</v>
      </c>
      <c r="B410">
        <f ca="1"/>
        <v>3.5299999999999998E-2</v>
      </c>
      <c r="C410">
        <f ca="1"/>
        <v>2.86E-2</v>
      </c>
      <c r="D410">
        <f t="shared" ca="1" si="12"/>
        <v>2.3833333333333332E-3</v>
      </c>
      <c r="E410" s="1">
        <f ca="1"/>
        <v>2E-3</v>
      </c>
      <c r="F410" s="1">
        <f t="shared" ca="1" si="13"/>
        <v>3.8333333333333318E-4</v>
      </c>
    </row>
    <row r="411" spans="1:6" x14ac:dyDescent="0.25">
      <c r="A411" t="str">
        <v>2014-02-28</v>
      </c>
      <c r="B411">
        <f ca="1"/>
        <v>3.6999999999999998E-2</v>
      </c>
      <c r="C411">
        <f ca="1"/>
        <v>2.7099999999999999E-2</v>
      </c>
      <c r="D411">
        <f t="shared" ca="1" si="12"/>
        <v>2.2583333333333331E-3</v>
      </c>
      <c r="E411" s="1">
        <f ca="1"/>
        <v>1E-3</v>
      </c>
      <c r="F411" s="1">
        <f t="shared" ca="1" si="13"/>
        <v>1.2583333333333331E-3</v>
      </c>
    </row>
    <row r="412" spans="1:6" x14ac:dyDescent="0.25">
      <c r="A412" t="str">
        <v>2014-03-31</v>
      </c>
      <c r="B412">
        <f ca="1"/>
        <v>3.6299999999999999E-2</v>
      </c>
      <c r="C412">
        <f ca="1"/>
        <v>2.7199999999999998E-2</v>
      </c>
      <c r="D412">
        <f t="shared" ca="1" si="12"/>
        <v>2.2666666666666664E-3</v>
      </c>
      <c r="E412" s="1">
        <f ca="1"/>
        <v>2E-3</v>
      </c>
      <c r="F412" s="1">
        <f t="shared" ca="1" si="13"/>
        <v>2.6666666666666635E-4</v>
      </c>
    </row>
    <row r="413" spans="1:6" x14ac:dyDescent="0.25">
      <c r="A413" t="str">
        <v>2014-04-30</v>
      </c>
      <c r="B413">
        <f ca="1"/>
        <v>3.6700000000000003E-2</v>
      </c>
      <c r="C413">
        <f ca="1"/>
        <v>2.7099999999999999E-2</v>
      </c>
      <c r="D413">
        <f t="shared" ca="1" si="12"/>
        <v>2.2583333333333331E-3</v>
      </c>
      <c r="E413" s="1">
        <f ca="1"/>
        <v>2E-3</v>
      </c>
      <c r="F413" s="1">
        <f t="shared" ca="1" si="13"/>
        <v>2.5833333333333307E-4</v>
      </c>
    </row>
    <row r="414" spans="1:6" x14ac:dyDescent="0.25">
      <c r="A414" t="str">
        <v>2014-05-31</v>
      </c>
      <c r="B414">
        <f ca="1"/>
        <v>3.7699999999999997E-2</v>
      </c>
      <c r="C414">
        <f ca="1"/>
        <v>2.5600000000000001E-2</v>
      </c>
      <c r="D414">
        <f t="shared" ca="1" si="12"/>
        <v>2.1333333333333334E-3</v>
      </c>
      <c r="E414" s="1">
        <f ca="1"/>
        <v>2E-3</v>
      </c>
      <c r="F414" s="1">
        <f t="shared" ca="1" si="13"/>
        <v>1.3333333333333339E-4</v>
      </c>
    </row>
    <row r="415" spans="1:6" x14ac:dyDescent="0.25">
      <c r="A415" t="str">
        <v>2014-06-30</v>
      </c>
      <c r="B415">
        <f ca="1"/>
        <v>3.6200000000000003E-2</v>
      </c>
      <c r="C415">
        <f ca="1"/>
        <v>2.5999999999999999E-2</v>
      </c>
      <c r="D415">
        <f t="shared" ca="1" si="12"/>
        <v>2.1666666666666666E-3</v>
      </c>
      <c r="E415" s="1">
        <f ca="1"/>
        <v>1E-3</v>
      </c>
      <c r="F415" s="1">
        <f t="shared" ca="1" si="13"/>
        <v>1.1666666666666665E-3</v>
      </c>
    </row>
    <row r="416" spans="1:6" x14ac:dyDescent="0.25">
      <c r="A416" t="str">
        <v>2014-07-31</v>
      </c>
      <c r="B416">
        <f ca="1"/>
        <v>3.6499999999999998E-2</v>
      </c>
      <c r="C416">
        <f ca="1"/>
        <v>2.5399999999999999E-2</v>
      </c>
      <c r="D416">
        <f t="shared" ca="1" si="12"/>
        <v>2.1166666666666664E-3</v>
      </c>
      <c r="E416" s="1">
        <f ca="1"/>
        <v>1E-3</v>
      </c>
      <c r="F416" s="1">
        <f t="shared" ca="1" si="13"/>
        <v>1.1166666666666664E-3</v>
      </c>
    </row>
    <row r="417" spans="1:6" x14ac:dyDescent="0.25">
      <c r="A417" t="str">
        <v>2014-08-31</v>
      </c>
      <c r="B417">
        <f ca="1"/>
        <v>3.78E-2</v>
      </c>
      <c r="C417">
        <f ca="1"/>
        <v>2.4199999999999999E-2</v>
      </c>
      <c r="D417">
        <f t="shared" ca="1" si="12"/>
        <v>2.0166666666666666E-3</v>
      </c>
      <c r="E417" s="1">
        <f ca="1"/>
        <v>0</v>
      </c>
      <c r="F417" s="1">
        <f t="shared" ca="1" si="13"/>
        <v>2.0166666666666666E-3</v>
      </c>
    </row>
    <row r="418" spans="1:6" x14ac:dyDescent="0.25">
      <c r="A418" t="str">
        <v>2014-09-30</v>
      </c>
      <c r="B418">
        <f ca="1"/>
        <v>3.61E-2</v>
      </c>
      <c r="C418">
        <f ca="1"/>
        <v>2.53E-2</v>
      </c>
      <c r="D418">
        <f t="shared" ca="1" si="12"/>
        <v>2.1083333333333332E-3</v>
      </c>
      <c r="E418" s="1">
        <f ca="1"/>
        <v>0</v>
      </c>
      <c r="F418" s="1">
        <f t="shared" ca="1" si="13"/>
        <v>2.1083333333333332E-3</v>
      </c>
    </row>
    <row r="419" spans="1:6" x14ac:dyDescent="0.25">
      <c r="A419" t="str">
        <v>2014-10-31</v>
      </c>
      <c r="B419">
        <f ca="1"/>
        <v>3.8800000000000001E-2</v>
      </c>
      <c r="C419">
        <f ca="1"/>
        <v>2.3E-2</v>
      </c>
      <c r="D419">
        <f t="shared" ca="1" si="12"/>
        <v>1.9166666666666666E-3</v>
      </c>
      <c r="E419" s="1">
        <f ca="1"/>
        <v>0</v>
      </c>
      <c r="F419" s="1">
        <f t="shared" ca="1" si="13"/>
        <v>1.9166666666666666E-3</v>
      </c>
    </row>
    <row r="420" spans="1:6" x14ac:dyDescent="0.25">
      <c r="A420" t="str">
        <v>2014-11-30</v>
      </c>
      <c r="B420">
        <f ca="1"/>
        <v>3.5700000000000003E-2</v>
      </c>
      <c r="C420">
        <f ca="1"/>
        <v>2.3300000000000001E-2</v>
      </c>
      <c r="D420">
        <f t="shared" ca="1" si="12"/>
        <v>1.9416666666666668E-3</v>
      </c>
      <c r="E420" s="1">
        <f ca="1"/>
        <v>-2E-3</v>
      </c>
      <c r="F420" s="1">
        <f t="shared" ca="1" si="13"/>
        <v>3.9416666666666671E-3</v>
      </c>
    </row>
    <row r="421" spans="1:6" x14ac:dyDescent="0.25">
      <c r="A421" t="str">
        <v>2014-12-31</v>
      </c>
      <c r="B421">
        <f ca="1"/>
        <v>3.6499999999999998E-2</v>
      </c>
      <c r="C421">
        <f ca="1"/>
        <v>2.2100000000000002E-2</v>
      </c>
      <c r="D421">
        <f t="shared" ca="1" si="12"/>
        <v>1.8416666666666668E-3</v>
      </c>
      <c r="E421" s="1">
        <f ca="1"/>
        <v>-3.0000000000000001E-3</v>
      </c>
      <c r="F421" s="1">
        <f t="shared" ca="1" si="13"/>
        <v>4.8416666666666669E-3</v>
      </c>
    </row>
    <row r="422" spans="1:6" x14ac:dyDescent="0.25">
      <c r="A422" t="str">
        <v>2015-01-31</v>
      </c>
      <c r="B422">
        <f ca="1"/>
        <v>3.95E-2</v>
      </c>
      <c r="C422">
        <f ca="1"/>
        <v>1.8800000000000001E-2</v>
      </c>
      <c r="D422">
        <f t="shared" ca="1" si="12"/>
        <v>1.5666666666666667E-3</v>
      </c>
      <c r="E422" s="1">
        <f ca="1"/>
        <v>-6.0000000000000001E-3</v>
      </c>
      <c r="F422" s="1">
        <f t="shared" ca="1" si="13"/>
        <v>7.5666666666666669E-3</v>
      </c>
    </row>
    <row r="423" spans="1:6" x14ac:dyDescent="0.25">
      <c r="A423" t="str">
        <v>2015-02-28</v>
      </c>
      <c r="B423">
        <f ca="1"/>
        <v>3.7600000000000001E-2</v>
      </c>
      <c r="C423">
        <f ca="1"/>
        <v>1.9800000000000002E-2</v>
      </c>
      <c r="D423">
        <f t="shared" ca="1" si="12"/>
        <v>1.6500000000000002E-3</v>
      </c>
      <c r="E423" s="1">
        <f ca="1"/>
        <v>3.0000000000000001E-3</v>
      </c>
      <c r="F423" s="1">
        <f t="shared" ca="1" si="13"/>
        <v>-1.3499999999999999E-3</v>
      </c>
    </row>
    <row r="424" spans="1:6" x14ac:dyDescent="0.25">
      <c r="A424" t="str">
        <v>2015-03-31</v>
      </c>
      <c r="B424">
        <f ca="1"/>
        <v>3.7199999999999997E-2</v>
      </c>
      <c r="C424">
        <f ca="1"/>
        <v>2.0400000000000001E-2</v>
      </c>
      <c r="D424">
        <f t="shared" ca="1" si="12"/>
        <v>1.7000000000000001E-3</v>
      </c>
      <c r="E424" s="1">
        <f ca="1"/>
        <v>3.0000000000000001E-3</v>
      </c>
      <c r="F424" s="1">
        <f t="shared" ca="1" si="13"/>
        <v>-1.2999999999999999E-3</v>
      </c>
    </row>
    <row r="425" spans="1:6" x14ac:dyDescent="0.25">
      <c r="A425" t="str">
        <v>2015-04-30</v>
      </c>
      <c r="B425">
        <f ca="1"/>
        <v>3.7699999999999997E-2</v>
      </c>
      <c r="C425">
        <f ca="1"/>
        <v>1.9400000000000001E-2</v>
      </c>
      <c r="D425">
        <f t="shared" ca="1" si="12"/>
        <v>1.6166666666666666E-3</v>
      </c>
      <c r="E425" s="1">
        <f ca="1"/>
        <v>1E-3</v>
      </c>
      <c r="F425" s="1">
        <f t="shared" ca="1" si="13"/>
        <v>6.1666666666666662E-4</v>
      </c>
    </row>
    <row r="426" spans="1:6" x14ac:dyDescent="0.25">
      <c r="A426" t="str">
        <v>2015-05-31</v>
      </c>
      <c r="B426">
        <f ca="1"/>
        <v>3.5700000000000003E-2</v>
      </c>
      <c r="C426">
        <f ca="1"/>
        <v>2.1999999999999999E-2</v>
      </c>
      <c r="D426">
        <f t="shared" ca="1" si="12"/>
        <v>1.8333333333333333E-3</v>
      </c>
      <c r="E426" s="1">
        <f ca="1"/>
        <v>3.0000000000000001E-3</v>
      </c>
      <c r="F426" s="1">
        <f t="shared" ca="1" si="13"/>
        <v>-1.1666666666666668E-3</v>
      </c>
    </row>
    <row r="427" spans="1:6" x14ac:dyDescent="0.25">
      <c r="A427" t="str">
        <v>2015-06-30</v>
      </c>
      <c r="B427">
        <f ca="1"/>
        <v>3.4799999999999998E-2</v>
      </c>
      <c r="C427">
        <f ca="1"/>
        <v>2.3599999999999999E-2</v>
      </c>
      <c r="D427">
        <f t="shared" ca="1" si="12"/>
        <v>1.9666666666666665E-3</v>
      </c>
      <c r="E427" s="1">
        <f ca="1"/>
        <v>3.0000000000000001E-3</v>
      </c>
      <c r="F427" s="1">
        <f t="shared" ca="1" si="13"/>
        <v>-1.0333333333333336E-3</v>
      </c>
    </row>
    <row r="428" spans="1:6" x14ac:dyDescent="0.25">
      <c r="A428" t="str">
        <v>2015-07-31</v>
      </c>
      <c r="B428">
        <f ca="1"/>
        <v>3.49E-2</v>
      </c>
      <c r="C428">
        <f ca="1"/>
        <v>2.3199999999999998E-2</v>
      </c>
      <c r="D428">
        <f t="shared" ca="1" si="12"/>
        <v>1.9333333333333331E-3</v>
      </c>
      <c r="E428" s="1">
        <f ca="1"/>
        <v>2E-3</v>
      </c>
      <c r="F428" s="1">
        <f t="shared" ca="1" si="13"/>
        <v>-6.6666666666666914E-5</v>
      </c>
    </row>
    <row r="429" spans="1:6" x14ac:dyDescent="0.25">
      <c r="A429" t="str">
        <v>2015-08-31</v>
      </c>
      <c r="B429">
        <f ca="1"/>
        <v>3.6799999999999999E-2</v>
      </c>
      <c r="C429">
        <f ca="1"/>
        <v>2.1700000000000001E-2</v>
      </c>
      <c r="D429">
        <f t="shared" ca="1" si="12"/>
        <v>1.8083333333333335E-3</v>
      </c>
      <c r="E429" s="1">
        <f ca="1"/>
        <v>0</v>
      </c>
      <c r="F429" s="1">
        <f t="shared" ca="1" si="13"/>
        <v>1.8083333333333335E-3</v>
      </c>
    </row>
    <row r="430" spans="1:6" x14ac:dyDescent="0.25">
      <c r="A430" t="str">
        <v>2015-09-30</v>
      </c>
      <c r="B430">
        <f ca="1"/>
        <v>3.73E-2</v>
      </c>
      <c r="C430">
        <f ca="1"/>
        <v>2.1700000000000001E-2</v>
      </c>
      <c r="D430">
        <f t="shared" ca="1" si="12"/>
        <v>1.8083333333333335E-3</v>
      </c>
      <c r="E430" s="1">
        <f ca="1"/>
        <v>-2E-3</v>
      </c>
      <c r="F430" s="1">
        <f t="shared" ca="1" si="13"/>
        <v>3.8083333333333337E-3</v>
      </c>
    </row>
    <row r="431" spans="1:6" x14ac:dyDescent="0.25">
      <c r="A431" t="str">
        <v>2015-10-31</v>
      </c>
      <c r="B431">
        <f ca="1"/>
        <v>3.6400000000000002E-2</v>
      </c>
      <c r="C431">
        <f ca="1"/>
        <v>2.07E-2</v>
      </c>
      <c r="D431">
        <f t="shared" ca="1" si="12"/>
        <v>1.725E-3</v>
      </c>
      <c r="E431" s="1">
        <f ca="1"/>
        <v>1E-3</v>
      </c>
      <c r="F431" s="1">
        <f t="shared" ca="1" si="13"/>
        <v>7.2499999999999995E-4</v>
      </c>
    </row>
    <row r="432" spans="1:6" x14ac:dyDescent="0.25">
      <c r="A432" t="str">
        <v>2015-11-30</v>
      </c>
      <c r="B432">
        <f ca="1"/>
        <v>3.4000000000000002E-2</v>
      </c>
      <c r="C432">
        <f ca="1"/>
        <v>2.2599999999999999E-2</v>
      </c>
      <c r="D432">
        <f t="shared" ca="1" si="12"/>
        <v>1.8833333333333332E-3</v>
      </c>
      <c r="E432" s="1">
        <f ca="1"/>
        <v>1E-3</v>
      </c>
      <c r="F432" s="1">
        <f t="shared" ca="1" si="13"/>
        <v>8.8333333333333319E-4</v>
      </c>
    </row>
    <row r="433" spans="1:6" x14ac:dyDescent="0.25">
      <c r="A433" t="str">
        <v>2015-12-31</v>
      </c>
      <c r="B433">
        <f ca="1"/>
        <v>3.4700000000000002E-2</v>
      </c>
      <c r="C433">
        <f ca="1"/>
        <v>2.24E-2</v>
      </c>
      <c r="D433">
        <f t="shared" ca="1" si="12"/>
        <v>1.8666666666666666E-3</v>
      </c>
      <c r="E433" s="1">
        <f ca="1"/>
        <v>-1E-3</v>
      </c>
      <c r="F433" s="1">
        <f t="shared" ca="1" si="13"/>
        <v>2.8666666666666667E-3</v>
      </c>
    </row>
    <row r="434" spans="1:6" x14ac:dyDescent="0.25">
      <c r="A434" t="str">
        <v>2016-01-31</v>
      </c>
      <c r="B434">
        <f ca="1"/>
        <v>3.8399999999999997E-2</v>
      </c>
      <c r="C434">
        <f ca="1"/>
        <v>2.0899999999999998E-2</v>
      </c>
      <c r="D434">
        <f t="shared" ca="1" si="12"/>
        <v>1.7416666666666665E-3</v>
      </c>
      <c r="E434" s="1">
        <f ca="1"/>
        <v>0</v>
      </c>
      <c r="F434" s="1">
        <f t="shared" ca="1" si="13"/>
        <v>1.7416666666666665E-3</v>
      </c>
    </row>
    <row r="435" spans="1:6" x14ac:dyDescent="0.25">
      <c r="A435" t="str">
        <v>2016-02-29</v>
      </c>
      <c r="B435">
        <f ca="1"/>
        <v>4.1700000000000001E-2</v>
      </c>
      <c r="C435">
        <f ca="1"/>
        <v>1.78E-2</v>
      </c>
      <c r="D435">
        <f t="shared" ca="1" si="12"/>
        <v>1.4833333333333332E-3</v>
      </c>
      <c r="E435" s="1">
        <f ca="1"/>
        <v>-1E-3</v>
      </c>
      <c r="F435" s="1">
        <f t="shared" ca="1" si="13"/>
        <v>2.4833333333333331E-3</v>
      </c>
    </row>
    <row r="436" spans="1:6" x14ac:dyDescent="0.25">
      <c r="A436" t="str">
        <v>2016-03-31</v>
      </c>
      <c r="B436">
        <f ca="1"/>
        <v>3.8199999999999998E-2</v>
      </c>
      <c r="C436">
        <f ca="1"/>
        <v>1.89E-2</v>
      </c>
      <c r="D436">
        <f t="shared" ca="1" si="12"/>
        <v>1.575E-3</v>
      </c>
      <c r="E436" s="1">
        <f ca="1"/>
        <v>3.0000000000000001E-3</v>
      </c>
      <c r="F436" s="1">
        <f t="shared" ca="1" si="13"/>
        <v>-1.4250000000000001E-3</v>
      </c>
    </row>
    <row r="437" spans="1:6" x14ac:dyDescent="0.25">
      <c r="A437" t="str">
        <v>2016-04-30</v>
      </c>
      <c r="B437">
        <f ca="1"/>
        <v>3.78E-2</v>
      </c>
      <c r="C437">
        <f ca="1"/>
        <v>1.8100000000000002E-2</v>
      </c>
      <c r="D437">
        <f t="shared" ca="1" si="12"/>
        <v>1.5083333333333335E-3</v>
      </c>
      <c r="E437" s="1">
        <f ca="1"/>
        <v>4.0000000000000001E-3</v>
      </c>
      <c r="F437" s="1">
        <f t="shared" ca="1" si="13"/>
        <v>-2.4916666666666663E-3</v>
      </c>
    </row>
    <row r="438" spans="1:6" x14ac:dyDescent="0.25">
      <c r="A438" t="str">
        <v>2016-05-31</v>
      </c>
      <c r="B438">
        <f ca="1"/>
        <v>3.8100000000000002E-2</v>
      </c>
      <c r="C438">
        <f ca="1"/>
        <v>1.8100000000000002E-2</v>
      </c>
      <c r="D438">
        <f t="shared" ca="1" si="12"/>
        <v>1.5083333333333335E-3</v>
      </c>
      <c r="E438" s="1">
        <f ca="1"/>
        <v>2E-3</v>
      </c>
      <c r="F438" s="1">
        <f t="shared" ca="1" si="13"/>
        <v>-4.9166666666666651E-4</v>
      </c>
    </row>
    <row r="439" spans="1:6" x14ac:dyDescent="0.25">
      <c r="A439" t="str">
        <v>2016-06-30</v>
      </c>
      <c r="B439">
        <f ca="1"/>
        <v>3.9699999999999999E-2</v>
      </c>
      <c r="C439">
        <f ca="1"/>
        <v>1.6400000000000001E-2</v>
      </c>
      <c r="D439">
        <f t="shared" ca="1" si="12"/>
        <v>1.3666666666666669E-3</v>
      </c>
      <c r="E439" s="1">
        <f ca="1"/>
        <v>3.0000000000000001E-3</v>
      </c>
      <c r="F439" s="1">
        <f t="shared" ca="1" si="13"/>
        <v>-1.6333333333333332E-3</v>
      </c>
    </row>
    <row r="440" spans="1:6" x14ac:dyDescent="0.25">
      <c r="A440" t="str">
        <v>2016-07-31</v>
      </c>
      <c r="B440">
        <f ca="1"/>
        <v>3.9399999999999998E-2</v>
      </c>
      <c r="C440">
        <f ca="1"/>
        <v>1.4999999999999999E-2</v>
      </c>
      <c r="D440">
        <f t="shared" ca="1" si="12"/>
        <v>1.25E-3</v>
      </c>
      <c r="E440" s="1">
        <f ca="1"/>
        <v>-1E-3</v>
      </c>
      <c r="F440" s="1">
        <f t="shared" ca="1" si="13"/>
        <v>2.2500000000000003E-3</v>
      </c>
    </row>
    <row r="441" spans="1:6" x14ac:dyDescent="0.25">
      <c r="A441" t="str">
        <v>2016-08-31</v>
      </c>
      <c r="B441">
        <f ca="1"/>
        <v>3.8300000000000001E-2</v>
      </c>
      <c r="C441">
        <f ca="1"/>
        <v>1.5599999999999999E-2</v>
      </c>
      <c r="D441">
        <f t="shared" ca="1" si="12"/>
        <v>1.2999999999999999E-3</v>
      </c>
      <c r="E441" s="1">
        <f ca="1"/>
        <v>2E-3</v>
      </c>
      <c r="F441" s="1">
        <f t="shared" ca="1" si="13"/>
        <v>-7.000000000000001E-4</v>
      </c>
    </row>
    <row r="442" spans="1:6" x14ac:dyDescent="0.25">
      <c r="A442" t="str">
        <v>2016-09-30</v>
      </c>
      <c r="B442">
        <f ca="1"/>
        <v>3.8699999999999998E-2</v>
      </c>
      <c r="C442">
        <f ca="1"/>
        <v>1.6299999999999999E-2</v>
      </c>
      <c r="D442">
        <f t="shared" ca="1" si="12"/>
        <v>1.3583333333333331E-3</v>
      </c>
      <c r="E442" s="1">
        <f ca="1"/>
        <v>3.0000000000000001E-3</v>
      </c>
      <c r="F442" s="1">
        <f t="shared" ca="1" si="13"/>
        <v>-1.6416666666666669E-3</v>
      </c>
    </row>
    <row r="443" spans="1:6" x14ac:dyDescent="0.25">
      <c r="A443" t="str">
        <v>2016-10-31</v>
      </c>
      <c r="B443">
        <f ca="1"/>
        <v>3.8300000000000001E-2</v>
      </c>
      <c r="C443">
        <f ca="1"/>
        <v>1.7600000000000001E-2</v>
      </c>
      <c r="D443">
        <f t="shared" ca="1" si="12"/>
        <v>1.4666666666666667E-3</v>
      </c>
      <c r="E443" s="1">
        <f ca="1"/>
        <v>2E-3</v>
      </c>
      <c r="F443" s="1">
        <f t="shared" ca="1" si="13"/>
        <v>-5.3333333333333336E-4</v>
      </c>
    </row>
    <row r="444" spans="1:6" x14ac:dyDescent="0.25">
      <c r="A444" t="str">
        <v>2016-11-30</v>
      </c>
      <c r="B444">
        <f ca="1"/>
        <v>3.4099999999999998E-2</v>
      </c>
      <c r="C444">
        <f ca="1"/>
        <v>2.1399999999999999E-2</v>
      </c>
      <c r="D444">
        <f t="shared" ca="1" si="12"/>
        <v>1.7833333333333332E-3</v>
      </c>
      <c r="E444" s="1">
        <f ca="1"/>
        <v>1E-3</v>
      </c>
      <c r="F444" s="1">
        <f t="shared" ca="1" si="13"/>
        <v>7.8333333333333315E-4</v>
      </c>
    </row>
    <row r="445" spans="1:6" x14ac:dyDescent="0.25">
      <c r="A445" t="str">
        <v>2016-12-31</v>
      </c>
      <c r="B445">
        <f ca="1"/>
        <v>2.9100000000000001E-2</v>
      </c>
      <c r="C445">
        <f ca="1"/>
        <v>2.4899999999999999E-2</v>
      </c>
      <c r="D445">
        <f t="shared" ca="1" si="12"/>
        <v>2.075E-3</v>
      </c>
      <c r="E445" s="1">
        <f ca="1"/>
        <v>3.0000000000000001E-3</v>
      </c>
      <c r="F445" s="1">
        <f t="shared" ca="1" si="13"/>
        <v>-9.2500000000000004E-4</v>
      </c>
    </row>
    <row r="446" spans="1:6" x14ac:dyDescent="0.25">
      <c r="A446" t="str">
        <v>2017-01-31</v>
      </c>
      <c r="B446">
        <f ca="1"/>
        <v>2.9700000000000001E-2</v>
      </c>
      <c r="C446">
        <f ca="1"/>
        <v>2.4299999999999999E-2</v>
      </c>
      <c r="D446">
        <f t="shared" ca="1" si="12"/>
        <v>2.0249999999999999E-3</v>
      </c>
      <c r="E446" s="1">
        <f ca="1"/>
        <v>4.0000000000000001E-3</v>
      </c>
      <c r="F446" s="1">
        <f t="shared" ca="1" si="13"/>
        <v>-1.9750000000000002E-3</v>
      </c>
    </row>
    <row r="447" spans="1:6" x14ac:dyDescent="0.25">
      <c r="A447" t="str">
        <v>2017-02-28</v>
      </c>
      <c r="B447">
        <f ca="1"/>
        <v>2.8799999999999999E-2</v>
      </c>
      <c r="C447">
        <f ca="1"/>
        <v>2.4199999999999999E-2</v>
      </c>
      <c r="D447">
        <f t="shared" ca="1" si="12"/>
        <v>2.0166666666666666E-3</v>
      </c>
      <c r="E447" s="1">
        <f ca="1"/>
        <v>2E-3</v>
      </c>
      <c r="F447" s="1">
        <f t="shared" ca="1" si="13"/>
        <v>1.6666666666666566E-5</v>
      </c>
    </row>
    <row r="448" spans="1:6" x14ac:dyDescent="0.25">
      <c r="A448" t="str">
        <v>2017-03-31</v>
      </c>
      <c r="B448">
        <f ca="1"/>
        <v>2.69E-2</v>
      </c>
      <c r="C448">
        <f ca="1"/>
        <v>2.4799999999999999E-2</v>
      </c>
      <c r="D448">
        <f t="shared" ca="1" si="12"/>
        <v>2.0666666666666667E-3</v>
      </c>
      <c r="E448" s="1">
        <f ca="1"/>
        <v>0</v>
      </c>
      <c r="F448" s="1">
        <f t="shared" ca="1" si="13"/>
        <v>2.0666666666666667E-3</v>
      </c>
    </row>
    <row r="449" spans="1:6" x14ac:dyDescent="0.25">
      <c r="A449" t="str">
        <v>2017-04-30</v>
      </c>
      <c r="B449">
        <f ca="1"/>
        <v>2.86E-2</v>
      </c>
      <c r="C449">
        <f ca="1"/>
        <v>2.3E-2</v>
      </c>
      <c r="D449">
        <f t="shared" ca="1" si="12"/>
        <v>1.9166666666666666E-3</v>
      </c>
      <c r="E449" s="1">
        <f ca="1"/>
        <v>1E-3</v>
      </c>
      <c r="F449" s="1">
        <f t="shared" ca="1" si="13"/>
        <v>9.1666666666666654E-4</v>
      </c>
    </row>
    <row r="450" spans="1:6" x14ac:dyDescent="0.25">
      <c r="A450" t="str">
        <v>2017-05-31</v>
      </c>
      <c r="B450">
        <f ca="1"/>
        <v>2.75E-2</v>
      </c>
      <c r="C450">
        <f ca="1"/>
        <v>2.3E-2</v>
      </c>
      <c r="D450">
        <f t="shared" ca="1" si="12"/>
        <v>1.9166666666666666E-3</v>
      </c>
      <c r="E450" s="1">
        <f ca="1"/>
        <v>-1E-3</v>
      </c>
      <c r="F450" s="1">
        <f t="shared" ca="1" si="13"/>
        <v>2.9166666666666664E-3</v>
      </c>
    </row>
    <row r="451" spans="1:6" x14ac:dyDescent="0.25">
      <c r="A451" t="str">
        <v>2017-06-30</v>
      </c>
      <c r="B451">
        <f ca="1"/>
        <v>2.8000000000000001E-2</v>
      </c>
      <c r="C451">
        <f ca="1"/>
        <v>2.1899999999999999E-2</v>
      </c>
      <c r="D451">
        <f t="shared" ref="D451:D514" ca="1" si="14">C451/12</f>
        <v>1.825E-3</v>
      </c>
      <c r="E451" s="1">
        <f ca="1"/>
        <v>1E-3</v>
      </c>
      <c r="F451" s="1">
        <f t="shared" ref="F451:F514" ca="1" si="15">D451-E451</f>
        <v>8.25E-4</v>
      </c>
    </row>
    <row r="452" spans="1:6" x14ac:dyDescent="0.25">
      <c r="A452" t="str">
        <v>2017-07-31</v>
      </c>
      <c r="B452">
        <f ca="1"/>
        <v>2.64E-2</v>
      </c>
      <c r="C452">
        <f ca="1"/>
        <v>2.3199999999999998E-2</v>
      </c>
      <c r="D452">
        <f t="shared" ca="1" si="14"/>
        <v>1.9333333333333331E-3</v>
      </c>
      <c r="E452" s="1">
        <f ca="1"/>
        <v>0</v>
      </c>
      <c r="F452" s="1">
        <f t="shared" ca="1" si="15"/>
        <v>1.9333333333333331E-3</v>
      </c>
    </row>
    <row r="453" spans="1:6" x14ac:dyDescent="0.25">
      <c r="A453" t="str">
        <v>2017-08-31</v>
      </c>
      <c r="B453">
        <f ca="1"/>
        <v>2.81E-2</v>
      </c>
      <c r="C453">
        <f ca="1"/>
        <v>2.2100000000000002E-2</v>
      </c>
      <c r="D453">
        <f t="shared" ca="1" si="14"/>
        <v>1.8416666666666668E-3</v>
      </c>
      <c r="E453" s="1">
        <f ca="1"/>
        <v>4.0000000000000001E-3</v>
      </c>
      <c r="F453" s="1">
        <f t="shared" ca="1" si="15"/>
        <v>-2.1583333333333333E-3</v>
      </c>
    </row>
    <row r="454" spans="1:6" x14ac:dyDescent="0.25">
      <c r="A454" t="str">
        <v>2017-09-30</v>
      </c>
      <c r="B454">
        <f ca="1"/>
        <v>2.8199999999999999E-2</v>
      </c>
      <c r="C454">
        <f ca="1"/>
        <v>2.1999999999999999E-2</v>
      </c>
      <c r="D454">
        <f t="shared" ca="1" si="14"/>
        <v>1.8333333333333333E-3</v>
      </c>
      <c r="E454" s="1">
        <f ca="1"/>
        <v>5.0000000000000001E-3</v>
      </c>
      <c r="F454" s="1">
        <f t="shared" ca="1" si="15"/>
        <v>-3.1666666666666666E-3</v>
      </c>
    </row>
    <row r="455" spans="1:6" x14ac:dyDescent="0.25">
      <c r="A455" t="str">
        <v>2017-10-31</v>
      </c>
      <c r="B455">
        <f ca="1"/>
        <v>2.5499999999999998E-2</v>
      </c>
      <c r="C455">
        <f ca="1"/>
        <v>2.3599999999999999E-2</v>
      </c>
      <c r="D455">
        <f t="shared" ca="1" si="14"/>
        <v>1.9666666666666665E-3</v>
      </c>
      <c r="E455" s="1">
        <f ca="1"/>
        <v>1E-3</v>
      </c>
      <c r="F455" s="1">
        <f t="shared" ca="1" si="15"/>
        <v>9.6666666666666646E-4</v>
      </c>
    </row>
    <row r="456" spans="1:6" x14ac:dyDescent="0.25">
      <c r="A456" t="str">
        <v>2017-11-30</v>
      </c>
      <c r="B456">
        <f ca="1"/>
        <v>2.46E-2</v>
      </c>
      <c r="C456">
        <f ca="1"/>
        <v>2.35E-2</v>
      </c>
      <c r="D456">
        <f t="shared" ca="1" si="14"/>
        <v>1.9583333333333332E-3</v>
      </c>
      <c r="E456" s="1">
        <f ca="1"/>
        <v>3.0000000000000001E-3</v>
      </c>
      <c r="F456" s="1">
        <f t="shared" ca="1" si="15"/>
        <v>-1.0416666666666669E-3</v>
      </c>
    </row>
    <row r="457" spans="1:6" x14ac:dyDescent="0.25">
      <c r="A457" t="str">
        <v>2017-12-31</v>
      </c>
      <c r="B457">
        <f ca="1"/>
        <v>2.3300000000000001E-2</v>
      </c>
      <c r="C457">
        <f ca="1"/>
        <v>2.4E-2</v>
      </c>
      <c r="D457">
        <f t="shared" ca="1" si="14"/>
        <v>2E-3</v>
      </c>
      <c r="E457" s="1">
        <f ca="1"/>
        <v>2E-3</v>
      </c>
      <c r="F457" s="1">
        <f t="shared" ca="1" si="15"/>
        <v>0</v>
      </c>
    </row>
    <row r="458" spans="1:6" x14ac:dyDescent="0.25">
      <c r="A458" t="str">
        <v>2018-01-31</v>
      </c>
      <c r="B458">
        <f ca="1"/>
        <v>2.0400000000000001E-2</v>
      </c>
      <c r="C458">
        <f ca="1"/>
        <v>2.58E-2</v>
      </c>
      <c r="D458">
        <f t="shared" ca="1" si="14"/>
        <v>2.15E-3</v>
      </c>
      <c r="E458" s="1">
        <f ca="1"/>
        <v>4.0000000000000001E-3</v>
      </c>
      <c r="F458" s="1">
        <f t="shared" ca="1" si="15"/>
        <v>-1.8500000000000001E-3</v>
      </c>
    </row>
    <row r="459" spans="1:6" x14ac:dyDescent="0.25">
      <c r="A459" t="str">
        <v>2018-02-28</v>
      </c>
      <c r="B459">
        <f ca="1"/>
        <v>1.9E-2</v>
      </c>
      <c r="C459">
        <f ca="1"/>
        <v>2.86E-2</v>
      </c>
      <c r="D459">
        <f t="shared" ca="1" si="14"/>
        <v>2.3833333333333332E-3</v>
      </c>
      <c r="E459" s="1">
        <f ca="1"/>
        <v>3.0000000000000001E-3</v>
      </c>
      <c r="F459" s="1">
        <f t="shared" ca="1" si="15"/>
        <v>-6.1666666666666684E-4</v>
      </c>
    </row>
    <row r="460" spans="1:6" x14ac:dyDescent="0.25">
      <c r="A460" t="str">
        <v>2018-03-31</v>
      </c>
      <c r="B460">
        <f ca="1"/>
        <v>1.8800000000000001E-2</v>
      </c>
      <c r="C460">
        <f ca="1"/>
        <v>2.8400000000000002E-2</v>
      </c>
      <c r="D460">
        <f t="shared" ca="1" si="14"/>
        <v>2.3666666666666667E-3</v>
      </c>
      <c r="E460" s="1">
        <f ca="1"/>
        <v>0</v>
      </c>
      <c r="F460" s="1">
        <f t="shared" ca="1" si="15"/>
        <v>2.3666666666666667E-3</v>
      </c>
    </row>
    <row r="461" spans="1:6" x14ac:dyDescent="0.25">
      <c r="A461" t="str">
        <v>2018-04-30</v>
      </c>
      <c r="B461">
        <f ca="1"/>
        <v>1.9099999999999999E-2</v>
      </c>
      <c r="C461">
        <f ca="1"/>
        <v>2.87E-2</v>
      </c>
      <c r="D461">
        <f t="shared" ca="1" si="14"/>
        <v>2.3916666666666665E-3</v>
      </c>
      <c r="E461" s="1">
        <f ca="1"/>
        <v>3.0000000000000001E-3</v>
      </c>
      <c r="F461" s="1">
        <f t="shared" ca="1" si="15"/>
        <v>-6.0833333333333356E-4</v>
      </c>
    </row>
    <row r="462" spans="1:6" x14ac:dyDescent="0.25">
      <c r="A462" t="str">
        <v>2018-05-31</v>
      </c>
      <c r="B462">
        <f ca="1"/>
        <v>1.7299999999999999E-2</v>
      </c>
      <c r="C462">
        <f ca="1"/>
        <v>2.98E-2</v>
      </c>
      <c r="D462">
        <f t="shared" ca="1" si="14"/>
        <v>2.4833333333333335E-3</v>
      </c>
      <c r="E462" s="1">
        <f ca="1"/>
        <v>2E-3</v>
      </c>
      <c r="F462" s="1">
        <f t="shared" ca="1" si="15"/>
        <v>4.8333333333333344E-4</v>
      </c>
    </row>
    <row r="463" spans="1:6" x14ac:dyDescent="0.25">
      <c r="A463" t="str">
        <v>2018-06-30</v>
      </c>
      <c r="B463">
        <f ca="1"/>
        <v>1.67E-2</v>
      </c>
      <c r="C463">
        <f ca="1"/>
        <v>2.9100000000000001E-2</v>
      </c>
      <c r="D463">
        <f t="shared" ca="1" si="14"/>
        <v>2.4250000000000001E-3</v>
      </c>
      <c r="E463" s="1">
        <f ca="1"/>
        <v>1E-3</v>
      </c>
      <c r="F463" s="1">
        <f t="shared" ca="1" si="15"/>
        <v>1.4250000000000001E-3</v>
      </c>
    </row>
    <row r="464" spans="1:6" x14ac:dyDescent="0.25">
      <c r="A464" t="str">
        <v>2018-07-31</v>
      </c>
      <c r="B464">
        <f ca="1"/>
        <v>1.6199999999999999E-2</v>
      </c>
      <c r="C464">
        <f ca="1"/>
        <v>2.8899999999999999E-2</v>
      </c>
      <c r="D464">
        <f t="shared" ca="1" si="14"/>
        <v>2.4083333333333331E-3</v>
      </c>
      <c r="E464" s="1">
        <f ca="1"/>
        <v>1E-3</v>
      </c>
      <c r="F464" s="1">
        <f t="shared" ca="1" si="15"/>
        <v>1.4083333333333331E-3</v>
      </c>
    </row>
    <row r="465" spans="1:6" x14ac:dyDescent="0.25">
      <c r="A465" t="str">
        <v>2018-08-31</v>
      </c>
      <c r="B465">
        <f ca="1"/>
        <v>1.61E-2</v>
      </c>
      <c r="C465">
        <f ca="1"/>
        <v>2.8899999999999999E-2</v>
      </c>
      <c r="D465">
        <f t="shared" ca="1" si="14"/>
        <v>2.4083333333333331E-3</v>
      </c>
      <c r="E465" s="1">
        <f ca="1"/>
        <v>2E-3</v>
      </c>
      <c r="F465" s="1">
        <f t="shared" ca="1" si="15"/>
        <v>4.0833333333333303E-4</v>
      </c>
    </row>
    <row r="466" spans="1:6" x14ac:dyDescent="0.25">
      <c r="A466" t="str">
        <v>2018-09-30</v>
      </c>
      <c r="B466">
        <f ca="1"/>
        <v>1.5100000000000001E-2</v>
      </c>
      <c r="C466">
        <f ca="1"/>
        <v>0.03</v>
      </c>
      <c r="D466">
        <f t="shared" ca="1" si="14"/>
        <v>2.5000000000000001E-3</v>
      </c>
      <c r="E466" s="1">
        <f ca="1"/>
        <v>2E-3</v>
      </c>
      <c r="F466" s="1">
        <f t="shared" ca="1" si="15"/>
        <v>5.0000000000000001E-4</v>
      </c>
    </row>
    <row r="467" spans="1:6" x14ac:dyDescent="0.25">
      <c r="A467" t="str">
        <v>2018-10-31</v>
      </c>
      <c r="B467">
        <f ca="1"/>
        <v>1.6299999999999999E-2</v>
      </c>
      <c r="C467">
        <f ca="1"/>
        <v>3.15E-2</v>
      </c>
      <c r="D467">
        <f t="shared" ca="1" si="14"/>
        <v>2.6250000000000002E-3</v>
      </c>
      <c r="E467" s="1">
        <f ca="1"/>
        <v>2E-3</v>
      </c>
      <c r="F467" s="1">
        <f t="shared" ca="1" si="15"/>
        <v>6.2500000000000012E-4</v>
      </c>
    </row>
    <row r="468" spans="1:6" x14ac:dyDescent="0.25">
      <c r="A468" t="str">
        <v>2018-11-30</v>
      </c>
      <c r="B468">
        <f ca="1"/>
        <v>1.9199999999999998E-2</v>
      </c>
      <c r="C468">
        <f ca="1"/>
        <v>3.1199999999999999E-2</v>
      </c>
      <c r="D468">
        <f t="shared" ca="1" si="14"/>
        <v>2.5999999999999999E-3</v>
      </c>
      <c r="E468" s="1">
        <f ca="1"/>
        <v>-1E-3</v>
      </c>
      <c r="F468" s="1">
        <f t="shared" ca="1" si="15"/>
        <v>3.5999999999999999E-3</v>
      </c>
    </row>
    <row r="469" spans="1:6" x14ac:dyDescent="0.25">
      <c r="A469" t="str">
        <v>2018-12-31</v>
      </c>
      <c r="B469">
        <f ca="1"/>
        <v>2.5000000000000001E-2</v>
      </c>
      <c r="C469">
        <f ca="1"/>
        <v>2.8299999999999999E-2</v>
      </c>
      <c r="D469">
        <f t="shared" ca="1" si="14"/>
        <v>2.3583333333333334E-3</v>
      </c>
      <c r="E469" s="1">
        <f ca="1"/>
        <v>1E-3</v>
      </c>
      <c r="F469" s="1">
        <f t="shared" ca="1" si="15"/>
        <v>1.3583333333333334E-3</v>
      </c>
    </row>
    <row r="470" spans="1:6" x14ac:dyDescent="0.25">
      <c r="A470" t="str">
        <v>2019-01-31</v>
      </c>
      <c r="B470">
        <f ca="1"/>
        <v>2.5899999999999999E-2</v>
      </c>
      <c r="C470">
        <f ca="1"/>
        <v>2.7099999999999999E-2</v>
      </c>
      <c r="D470">
        <f t="shared" ca="1" si="14"/>
        <v>2.2583333333333331E-3</v>
      </c>
      <c r="E470" s="1">
        <f ca="1"/>
        <v>-1E-3</v>
      </c>
      <c r="F470" s="1">
        <f t="shared" ca="1" si="15"/>
        <v>3.2583333333333331E-3</v>
      </c>
    </row>
    <row r="471" spans="1:6" x14ac:dyDescent="0.25">
      <c r="A471" t="str">
        <v>2019-02-28</v>
      </c>
      <c r="B471">
        <f ca="1"/>
        <v>2.47E-2</v>
      </c>
      <c r="C471">
        <f ca="1"/>
        <v>2.6800000000000001E-2</v>
      </c>
      <c r="D471">
        <f t="shared" ca="1" si="14"/>
        <v>2.2333333333333333E-3</v>
      </c>
      <c r="E471" s="1">
        <f ca="1"/>
        <v>3.0000000000000001E-3</v>
      </c>
      <c r="F471" s="1">
        <f t="shared" ca="1" si="15"/>
        <v>-7.666666666666668E-4</v>
      </c>
    </row>
    <row r="472" spans="1:6" x14ac:dyDescent="0.25">
      <c r="A472" t="str">
        <v>2019-03-31</v>
      </c>
      <c r="B472">
        <f ca="1"/>
        <v>2.6100000000000002E-2</v>
      </c>
      <c r="C472">
        <f ca="1"/>
        <v>2.5700000000000001E-2</v>
      </c>
      <c r="D472">
        <f t="shared" ca="1" si="14"/>
        <v>2.1416666666666667E-3</v>
      </c>
      <c r="E472" s="1">
        <f ca="1"/>
        <v>4.0000000000000001E-3</v>
      </c>
      <c r="F472" s="1">
        <f t="shared" ca="1" si="15"/>
        <v>-1.8583333333333334E-3</v>
      </c>
    </row>
    <row r="473" spans="1:6" x14ac:dyDescent="0.25">
      <c r="A473" t="str">
        <v>2019-04-30</v>
      </c>
      <c r="B473">
        <f ca="1"/>
        <v>2.6100000000000002E-2</v>
      </c>
      <c r="C473">
        <f ca="1"/>
        <v>2.53E-2</v>
      </c>
      <c r="D473">
        <f t="shared" ca="1" si="14"/>
        <v>2.1083333333333332E-3</v>
      </c>
      <c r="E473" s="1">
        <f ca="1"/>
        <v>4.0000000000000001E-3</v>
      </c>
      <c r="F473" s="1">
        <f t="shared" ca="1" si="15"/>
        <v>-1.8916666666666669E-3</v>
      </c>
    </row>
    <row r="474" spans="1:6" x14ac:dyDescent="0.25">
      <c r="A474" t="str">
        <v>2019-05-31</v>
      </c>
      <c r="B474">
        <f ca="1"/>
        <v>2.8400000000000002E-2</v>
      </c>
      <c r="C474">
        <f ca="1"/>
        <v>2.4E-2</v>
      </c>
      <c r="D474">
        <f t="shared" ca="1" si="14"/>
        <v>2E-3</v>
      </c>
      <c r="E474" s="1">
        <f ca="1"/>
        <v>0</v>
      </c>
      <c r="F474" s="1">
        <f t="shared" ca="1" si="15"/>
        <v>2E-3</v>
      </c>
    </row>
    <row r="475" spans="1:6" x14ac:dyDescent="0.25">
      <c r="A475" t="str">
        <v>2019-06-30</v>
      </c>
      <c r="B475">
        <f ca="1"/>
        <v>3.09E-2</v>
      </c>
      <c r="C475">
        <f ca="1"/>
        <v>2.06E-2</v>
      </c>
      <c r="D475">
        <f t="shared" ca="1" si="14"/>
        <v>1.7166666666666667E-3</v>
      </c>
      <c r="E475" s="1">
        <f ca="1"/>
        <v>0</v>
      </c>
      <c r="F475" s="1">
        <f t="shared" ca="1" si="15"/>
        <v>1.7166666666666667E-3</v>
      </c>
    </row>
    <row r="476" spans="1:6" x14ac:dyDescent="0.25">
      <c r="A476" t="str">
        <v>2019-07-31</v>
      </c>
      <c r="B476">
        <f ca="1"/>
        <v>3.4700000000000002E-2</v>
      </c>
      <c r="C476">
        <f ca="1"/>
        <v>1.6299999999999999E-2</v>
      </c>
      <c r="D476">
        <f t="shared" ca="1" si="14"/>
        <v>1.3583333333333331E-3</v>
      </c>
      <c r="E476" s="1">
        <f ca="1"/>
        <v>2E-3</v>
      </c>
      <c r="F476" s="1">
        <f t="shared" ca="1" si="15"/>
        <v>-6.416666666666669E-4</v>
      </c>
    </row>
    <row r="477" spans="1:6" x14ac:dyDescent="0.25">
      <c r="A477" t="str">
        <v>2019-08-31</v>
      </c>
      <c r="B477">
        <f ca="1"/>
        <v>3.5999999999999997E-2</v>
      </c>
      <c r="C477">
        <f ca="1"/>
        <v>1.6299999999999999E-2</v>
      </c>
      <c r="D477">
        <f t="shared" ca="1" si="14"/>
        <v>1.3583333333333331E-3</v>
      </c>
      <c r="E477" s="1">
        <f ca="1"/>
        <v>1E-3</v>
      </c>
      <c r="F477" s="1">
        <f t="shared" ca="1" si="15"/>
        <v>3.5833333333333312E-4</v>
      </c>
    </row>
    <row r="478" spans="1:6" x14ac:dyDescent="0.25">
      <c r="A478" t="str">
        <v>2019-09-30</v>
      </c>
      <c r="B478">
        <f ca="1"/>
        <v>3.4700000000000002E-2</v>
      </c>
      <c r="C478">
        <f ca="1"/>
        <v>1.7000000000000001E-2</v>
      </c>
      <c r="D478">
        <f t="shared" ca="1" si="14"/>
        <v>1.4166666666666668E-3</v>
      </c>
      <c r="E478" s="1">
        <f ca="1"/>
        <v>2E-3</v>
      </c>
      <c r="F478" s="1">
        <f t="shared" ca="1" si="15"/>
        <v>-5.8333333333333327E-4</v>
      </c>
    </row>
    <row r="479" spans="1:6" x14ac:dyDescent="0.25">
      <c r="A479" t="str">
        <v>2019-10-31</v>
      </c>
      <c r="B479">
        <f ca="1"/>
        <v>3.5200000000000002E-2</v>
      </c>
      <c r="C479">
        <f ca="1"/>
        <v>1.7100000000000001E-2</v>
      </c>
      <c r="D479">
        <f t="shared" ca="1" si="14"/>
        <v>1.4250000000000001E-3</v>
      </c>
      <c r="E479" s="1">
        <f ca="1"/>
        <v>3.0000000000000001E-3</v>
      </c>
      <c r="F479" s="1">
        <f t="shared" ca="1" si="15"/>
        <v>-1.575E-3</v>
      </c>
    </row>
    <row r="480" spans="1:6" x14ac:dyDescent="0.25">
      <c r="A480" t="str">
        <v>2019-11-30</v>
      </c>
      <c r="B480">
        <f ca="1"/>
        <v>3.2899999999999999E-2</v>
      </c>
      <c r="C480">
        <f ca="1"/>
        <v>1.8100000000000002E-2</v>
      </c>
      <c r="D480">
        <f t="shared" ca="1" si="14"/>
        <v>1.5083333333333335E-3</v>
      </c>
      <c r="E480" s="1">
        <f ca="1"/>
        <v>3.0000000000000001E-3</v>
      </c>
      <c r="F480" s="1">
        <f t="shared" ca="1" si="15"/>
        <v>-1.4916666666666665E-3</v>
      </c>
    </row>
    <row r="481" spans="1:6" x14ac:dyDescent="0.25">
      <c r="A481" t="str">
        <v>2019-12-31</v>
      </c>
      <c r="B481">
        <f ca="1"/>
        <v>3.1899999999999998E-2</v>
      </c>
      <c r="C481">
        <f ca="1"/>
        <v>1.8599999999999998E-2</v>
      </c>
      <c r="D481">
        <f t="shared" ca="1" si="14"/>
        <v>1.5499999999999999E-3</v>
      </c>
      <c r="E481" s="1">
        <f ca="1"/>
        <v>3.0000000000000001E-3</v>
      </c>
      <c r="F481" s="1">
        <f t="shared" ca="1" si="15"/>
        <v>-1.4500000000000001E-3</v>
      </c>
    </row>
    <row r="482" spans="1:6" x14ac:dyDescent="0.25">
      <c r="A482" t="str">
        <v>2020-01-31</v>
      </c>
      <c r="B482">
        <f ca="1"/>
        <v>3.2300000000000002E-2</v>
      </c>
      <c r="C482">
        <f ca="1"/>
        <v>1.7600000000000001E-2</v>
      </c>
      <c r="D482">
        <f t="shared" ca="1" si="14"/>
        <v>1.4666666666666667E-3</v>
      </c>
      <c r="E482" s="1">
        <f ca="1"/>
        <v>2E-3</v>
      </c>
      <c r="F482" s="1">
        <f t="shared" ca="1" si="15"/>
        <v>-5.3333333333333336E-4</v>
      </c>
    </row>
    <row r="483" spans="1:6" x14ac:dyDescent="0.25">
      <c r="A483" t="str">
        <v>2020-02-29</v>
      </c>
      <c r="B483">
        <f ca="1"/>
        <v>3.5400000000000001E-2</v>
      </c>
      <c r="C483">
        <f ca="1"/>
        <v>1.4999999999999999E-2</v>
      </c>
      <c r="D483">
        <f t="shared" ca="1" si="14"/>
        <v>1.25E-3</v>
      </c>
      <c r="E483" s="1">
        <f ca="1"/>
        <v>0</v>
      </c>
      <c r="F483" s="1">
        <f t="shared" ca="1" si="15"/>
        <v>1.25E-3</v>
      </c>
    </row>
    <row r="484" spans="1:6" x14ac:dyDescent="0.25">
      <c r="A484" t="str">
        <v>2020-03-31</v>
      </c>
      <c r="B484">
        <f ca="1"/>
        <v>4.8800000000000003E-2</v>
      </c>
      <c r="C484">
        <f ca="1"/>
        <v>8.6999999999999994E-3</v>
      </c>
      <c r="D484">
        <f t="shared" ca="1" si="14"/>
        <v>7.2499999999999995E-4</v>
      </c>
      <c r="E484" s="1">
        <f ca="1"/>
        <v>-5.0000000000000001E-3</v>
      </c>
      <c r="F484" s="1">
        <f t="shared" ca="1" si="15"/>
        <v>5.7250000000000001E-3</v>
      </c>
    </row>
    <row r="485" spans="1:6" x14ac:dyDescent="0.25">
      <c r="A485" t="str">
        <v>2020-04-30</v>
      </c>
      <c r="B485">
        <f ca="1"/>
        <v>4.8300000000000003E-2</v>
      </c>
      <c r="C485">
        <f ca="1"/>
        <v>6.6E-3</v>
      </c>
      <c r="D485">
        <f t="shared" ca="1" si="14"/>
        <v>5.5000000000000003E-4</v>
      </c>
      <c r="E485" s="1">
        <f ca="1"/>
        <v>-8.0000000000000002E-3</v>
      </c>
      <c r="F485" s="1">
        <f t="shared" ca="1" si="15"/>
        <v>8.5500000000000003E-3</v>
      </c>
    </row>
    <row r="486" spans="1:6" x14ac:dyDescent="0.25">
      <c r="A486" t="str">
        <v>2020-05-31</v>
      </c>
      <c r="B486">
        <f ca="1"/>
        <v>4.6199999999999998E-2</v>
      </c>
      <c r="C486">
        <f ca="1"/>
        <v>6.7000000000000002E-3</v>
      </c>
      <c r="D486">
        <f t="shared" ca="1" si="14"/>
        <v>5.5833333333333332E-4</v>
      </c>
      <c r="E486" s="1">
        <f ca="1"/>
        <v>-1E-3</v>
      </c>
      <c r="F486" s="1">
        <f t="shared" ca="1" si="15"/>
        <v>1.5583333333333334E-3</v>
      </c>
    </row>
    <row r="487" spans="1:6" x14ac:dyDescent="0.25">
      <c r="A487" t="str">
        <v>2020-06-30</v>
      </c>
      <c r="B487">
        <f ca="1"/>
        <v>4.4299999999999999E-2</v>
      </c>
      <c r="C487">
        <f ca="1"/>
        <v>7.3000000000000001E-3</v>
      </c>
      <c r="D487">
        <f t="shared" ca="1" si="14"/>
        <v>6.0833333333333334E-4</v>
      </c>
      <c r="E487" s="1">
        <f ca="1"/>
        <v>5.0000000000000001E-3</v>
      </c>
      <c r="F487" s="1">
        <f t="shared" ca="1" si="15"/>
        <v>-4.391666666666667E-3</v>
      </c>
    </row>
    <row r="488" spans="1:6" x14ac:dyDescent="0.25">
      <c r="A488" t="str">
        <v>2020-07-31</v>
      </c>
      <c r="B488">
        <f ca="1"/>
        <v>4.4999999999999998E-2</v>
      </c>
      <c r="C488">
        <f ca="1"/>
        <v>6.1999999999999998E-3</v>
      </c>
      <c r="D488">
        <f t="shared" ca="1" si="14"/>
        <v>5.1666666666666668E-4</v>
      </c>
      <c r="E488" s="1">
        <f ca="1"/>
        <v>5.0000000000000001E-3</v>
      </c>
      <c r="F488" s="1">
        <f t="shared" ca="1" si="15"/>
        <v>-4.4833333333333331E-3</v>
      </c>
    </row>
    <row r="489" spans="1:6" x14ac:dyDescent="0.25">
      <c r="A489" t="str">
        <v>2020-08-31</v>
      </c>
      <c r="B489">
        <f ca="1"/>
        <v>4.3200000000000002E-2</v>
      </c>
      <c r="C489">
        <f ca="1"/>
        <v>6.4999999999999997E-3</v>
      </c>
      <c r="D489">
        <f t="shared" ca="1" si="14"/>
        <v>5.4166666666666664E-4</v>
      </c>
      <c r="E489" s="1">
        <f ca="1"/>
        <v>4.0000000000000001E-3</v>
      </c>
      <c r="F489" s="1">
        <f t="shared" ca="1" si="15"/>
        <v>-3.4583333333333332E-3</v>
      </c>
    </row>
    <row r="490" spans="1:6" x14ac:dyDescent="0.25">
      <c r="A490" t="str">
        <v>2020-09-30</v>
      </c>
      <c r="B490">
        <f ca="1"/>
        <v>4.3299999999999998E-2</v>
      </c>
      <c r="C490">
        <f ca="1"/>
        <v>6.7999999999999996E-3</v>
      </c>
      <c r="D490">
        <f t="shared" ca="1" si="14"/>
        <v>5.666666666666666E-4</v>
      </c>
      <c r="E490" s="1">
        <f ca="1"/>
        <v>3.0000000000000001E-3</v>
      </c>
      <c r="F490" s="1">
        <f t="shared" ca="1" si="15"/>
        <v>-2.4333333333333334E-3</v>
      </c>
    </row>
    <row r="491" spans="1:6" x14ac:dyDescent="0.25">
      <c r="A491" t="str">
        <v>2020-10-31</v>
      </c>
      <c r="B491">
        <f ca="1"/>
        <v>4.1700000000000001E-2</v>
      </c>
      <c r="C491">
        <f ca="1"/>
        <v>7.9000000000000008E-3</v>
      </c>
      <c r="D491">
        <f t="shared" ca="1" si="14"/>
        <v>6.5833333333333336E-4</v>
      </c>
      <c r="E491" s="1">
        <f ca="1"/>
        <v>1E-3</v>
      </c>
      <c r="F491" s="1">
        <f t="shared" ca="1" si="15"/>
        <v>-3.4166666666666666E-4</v>
      </c>
    </row>
    <row r="492" spans="1:6" x14ac:dyDescent="0.25">
      <c r="A492" t="str">
        <v>2020-11-30</v>
      </c>
      <c r="B492">
        <f ca="1"/>
        <v>3.9600000000000003E-2</v>
      </c>
      <c r="C492">
        <f ca="1"/>
        <v>8.6999999999999994E-3</v>
      </c>
      <c r="D492">
        <f t="shared" ca="1" si="14"/>
        <v>7.2499999999999995E-4</v>
      </c>
      <c r="E492" s="1">
        <f ca="1"/>
        <v>2E-3</v>
      </c>
      <c r="F492" s="1">
        <f t="shared" ca="1" si="15"/>
        <v>-1.2750000000000001E-3</v>
      </c>
    </row>
    <row r="493" spans="1:6" x14ac:dyDescent="0.25">
      <c r="A493" t="str">
        <v>2020-12-31</v>
      </c>
      <c r="B493">
        <f ca="1"/>
        <v>3.7699999999999997E-2</v>
      </c>
      <c r="C493">
        <f ca="1"/>
        <v>9.2999999999999992E-3</v>
      </c>
      <c r="D493">
        <f t="shared" ca="1" si="14"/>
        <v>7.7499999999999997E-4</v>
      </c>
      <c r="E493" s="1">
        <f ca="1"/>
        <v>4.0000000000000001E-3</v>
      </c>
      <c r="F493" s="1">
        <f t="shared" ca="1" si="15"/>
        <v>-3.225E-3</v>
      </c>
    </row>
    <row r="494" spans="1:6" x14ac:dyDescent="0.25">
      <c r="A494" t="str">
        <v>2021-01-31</v>
      </c>
      <c r="B494">
        <f ca="1"/>
        <v>3.5499999999999997E-2</v>
      </c>
      <c r="C494">
        <f ca="1"/>
        <v>1.0800000000000001E-2</v>
      </c>
      <c r="D494">
        <f t="shared" ca="1" si="14"/>
        <v>9.0000000000000008E-4</v>
      </c>
      <c r="E494" s="1">
        <f ca="1"/>
        <v>2E-3</v>
      </c>
      <c r="F494" s="1">
        <f t="shared" ca="1" si="15"/>
        <v>-1.0999999999999998E-3</v>
      </c>
    </row>
    <row r="495" spans="1:6" x14ac:dyDescent="0.25">
      <c r="A495" t="str">
        <v>2021-02-28</v>
      </c>
      <c r="B495">
        <f ca="1"/>
        <v>3.3300000000000003E-2</v>
      </c>
      <c r="C495">
        <f ca="1"/>
        <v>1.26E-2</v>
      </c>
      <c r="D495">
        <f t="shared" ca="1" si="14"/>
        <v>1.0499999999999999E-3</v>
      </c>
      <c r="E495" s="1">
        <f ca="1"/>
        <v>3.0000000000000001E-3</v>
      </c>
      <c r="F495" s="1">
        <f t="shared" ca="1" si="15"/>
        <v>-1.9500000000000001E-3</v>
      </c>
    </row>
    <row r="496" spans="1:6" x14ac:dyDescent="0.25">
      <c r="A496" t="str">
        <v>2021-03-31</v>
      </c>
      <c r="B496">
        <f ca="1"/>
        <v>2.9600000000000001E-2</v>
      </c>
      <c r="C496">
        <f ca="1"/>
        <v>1.61E-2</v>
      </c>
      <c r="D496">
        <f t="shared" ca="1" si="14"/>
        <v>1.3416666666666666E-3</v>
      </c>
      <c r="E496" s="1">
        <f ca="1"/>
        <v>5.0000000000000001E-3</v>
      </c>
      <c r="F496" s="1">
        <f t="shared" ca="1" si="15"/>
        <v>-3.6583333333333337E-3</v>
      </c>
    </row>
    <row r="497" spans="1:6" x14ac:dyDescent="0.25">
      <c r="A497" t="str">
        <v>2021-04-30</v>
      </c>
      <c r="B497">
        <f ca="1"/>
        <v>2.8199999999999999E-2</v>
      </c>
      <c r="C497">
        <f ca="1"/>
        <v>1.6400000000000001E-2</v>
      </c>
      <c r="D497">
        <f t="shared" ca="1" si="14"/>
        <v>1.3666666666666669E-3</v>
      </c>
      <c r="E497" s="1">
        <f ca="1"/>
        <v>6.0000000000000001E-3</v>
      </c>
      <c r="F497" s="1">
        <f t="shared" ca="1" si="15"/>
        <v>-4.6333333333333331E-3</v>
      </c>
    </row>
    <row r="498" spans="1:6" x14ac:dyDescent="0.25">
      <c r="A498" t="str">
        <v>2021-05-31</v>
      </c>
      <c r="B498">
        <f ca="1"/>
        <v>2.8799999999999999E-2</v>
      </c>
      <c r="C498">
        <f ca="1"/>
        <v>1.6199999999999999E-2</v>
      </c>
      <c r="D498">
        <f t="shared" ca="1" si="14"/>
        <v>1.3499999999999999E-3</v>
      </c>
      <c r="E498" s="1">
        <f ca="1"/>
        <v>7.0000000000000001E-3</v>
      </c>
      <c r="F498" s="1">
        <f t="shared" ca="1" si="15"/>
        <v>-5.6500000000000005E-3</v>
      </c>
    </row>
    <row r="499" spans="1:6" x14ac:dyDescent="0.25">
      <c r="A499" t="str">
        <v>2021-06-30</v>
      </c>
      <c r="B499">
        <f ca="1"/>
        <v>3.0800000000000001E-2</v>
      </c>
      <c r="C499">
        <f ca="1"/>
        <v>1.52E-2</v>
      </c>
      <c r="D499">
        <f t="shared" ca="1" si="14"/>
        <v>1.2666666666666666E-3</v>
      </c>
      <c r="E499" s="1">
        <f ca="1"/>
        <v>8.0000000000000002E-3</v>
      </c>
      <c r="F499" s="1">
        <f t="shared" ca="1" si="15"/>
        <v>-6.7333333333333334E-3</v>
      </c>
    </row>
    <row r="500" spans="1:6" x14ac:dyDescent="0.25">
      <c r="A500" t="str">
        <v>2021-07-31</v>
      </c>
      <c r="B500">
        <f ca="1"/>
        <v>3.2599999999999997E-2</v>
      </c>
      <c r="C500">
        <f ca="1"/>
        <v>1.32E-2</v>
      </c>
      <c r="D500">
        <f t="shared" ca="1" si="14"/>
        <v>1.1000000000000001E-3</v>
      </c>
      <c r="E500" s="1">
        <f ca="1"/>
        <v>5.0000000000000001E-3</v>
      </c>
      <c r="F500" s="1">
        <f t="shared" ca="1" si="15"/>
        <v>-3.8999999999999998E-3</v>
      </c>
    </row>
    <row r="501" spans="1:6" x14ac:dyDescent="0.25">
      <c r="A501" t="str">
        <v>2021-08-31</v>
      </c>
      <c r="B501">
        <f ca="1"/>
        <v>3.2599999999999997E-2</v>
      </c>
      <c r="C501">
        <f ca="1"/>
        <v>1.2800000000000001E-2</v>
      </c>
      <c r="D501">
        <f t="shared" ca="1" si="14"/>
        <v>1.0666666666666667E-3</v>
      </c>
      <c r="E501" s="1">
        <f ca="1"/>
        <v>3.0000000000000001E-3</v>
      </c>
      <c r="F501" s="1">
        <f t="shared" ca="1" si="15"/>
        <v>-1.9333333333333333E-3</v>
      </c>
    </row>
    <row r="502" spans="1:6" x14ac:dyDescent="0.25">
      <c r="A502" t="str">
        <v>2021-09-30</v>
      </c>
      <c r="B502">
        <f ca="1"/>
        <v>3.2000000000000001E-2</v>
      </c>
      <c r="C502">
        <f ca="1"/>
        <v>1.37E-2</v>
      </c>
      <c r="D502">
        <f t="shared" ca="1" si="14"/>
        <v>1.1416666666666667E-3</v>
      </c>
      <c r="E502" s="1">
        <f ca="1"/>
        <v>5.0000000000000001E-3</v>
      </c>
      <c r="F502" s="1">
        <f t="shared" ca="1" si="15"/>
        <v>-3.8583333333333334E-3</v>
      </c>
    </row>
    <row r="503" spans="1:6" x14ac:dyDescent="0.25">
      <c r="A503" t="str">
        <v>2021-10-31</v>
      </c>
      <c r="B503">
        <f ca="1"/>
        <v>3.1300000000000001E-2</v>
      </c>
      <c r="C503">
        <f ca="1"/>
        <v>1.5800000000000002E-2</v>
      </c>
      <c r="D503">
        <f t="shared" ca="1" si="14"/>
        <v>1.3166666666666667E-3</v>
      </c>
      <c r="E503" s="1">
        <f ca="1"/>
        <v>0.01</v>
      </c>
      <c r="F503" s="1">
        <f t="shared" ca="1" si="15"/>
        <v>-8.6833333333333328E-3</v>
      </c>
    </row>
    <row r="504" spans="1:6" x14ac:dyDescent="0.25">
      <c r="A504" t="str">
        <v>2021-11-30</v>
      </c>
      <c r="B504">
        <f ca="1"/>
        <v>3.1099999999999999E-2</v>
      </c>
      <c r="C504">
        <f ca="1"/>
        <v>1.5599999999999999E-2</v>
      </c>
      <c r="D504">
        <f t="shared" ca="1" si="14"/>
        <v>1.2999999999999999E-3</v>
      </c>
      <c r="E504" s="1">
        <f ca="1"/>
        <v>8.9999999999999993E-3</v>
      </c>
      <c r="F504" s="1">
        <f t="shared" ca="1" si="15"/>
        <v>-7.6999999999999994E-3</v>
      </c>
    </row>
    <row r="505" spans="1:6" x14ac:dyDescent="0.25">
      <c r="A505" t="str">
        <v>2021-12-31</v>
      </c>
      <c r="B505">
        <f ca="1"/>
        <v>3.2800000000000003E-2</v>
      </c>
      <c r="C505">
        <f ca="1"/>
        <v>1.47E-2</v>
      </c>
      <c r="D505">
        <f t="shared" ca="1" si="14"/>
        <v>1.225E-3</v>
      </c>
      <c r="E505" s="1">
        <f ca="1"/>
        <v>7.0000000000000001E-3</v>
      </c>
      <c r="F505" s="1">
        <f t="shared" ca="1" si="15"/>
        <v>-5.7750000000000006E-3</v>
      </c>
    </row>
    <row r="506" spans="1:6" x14ac:dyDescent="0.25">
      <c r="A506" t="str">
        <v>2022-01-31</v>
      </c>
      <c r="B506">
        <f ca="1"/>
        <v>3.1199999999999999E-2</v>
      </c>
      <c r="C506">
        <f ca="1"/>
        <v>1.7600000000000001E-2</v>
      </c>
      <c r="D506">
        <f t="shared" ca="1" si="14"/>
        <v>1.4666666666666667E-3</v>
      </c>
      <c r="E506" s="1">
        <f ca="1"/>
        <v>6.0000000000000001E-3</v>
      </c>
      <c r="F506" s="1">
        <f t="shared" ca="1" si="15"/>
        <v>-4.5333333333333337E-3</v>
      </c>
    </row>
    <row r="507" spans="1:6" x14ac:dyDescent="0.25">
      <c r="A507" t="str">
        <v>2022-02-28</v>
      </c>
      <c r="B507">
        <f ca="1"/>
        <v>3.1300000000000001E-2</v>
      </c>
      <c r="C507">
        <f ca="1"/>
        <v>1.9300000000000001E-2</v>
      </c>
      <c r="D507">
        <f t="shared" ca="1" si="14"/>
        <v>1.6083333333333334E-3</v>
      </c>
      <c r="E507" s="1">
        <f ca="1"/>
        <v>7.0000000000000001E-3</v>
      </c>
      <c r="F507" s="1">
        <f t="shared" ca="1" si="15"/>
        <v>-5.391666666666667E-3</v>
      </c>
    </row>
    <row r="508" spans="1:6" x14ac:dyDescent="0.25">
      <c r="A508" t="str">
        <v>2022-03-31</v>
      </c>
      <c r="B508">
        <f ca="1"/>
        <v>3.0700000000000002E-2</v>
      </c>
      <c r="C508">
        <f ca="1"/>
        <v>2.1299999999999999E-2</v>
      </c>
      <c r="D508">
        <f t="shared" ca="1" si="14"/>
        <v>1.7749999999999999E-3</v>
      </c>
      <c r="E508" s="1">
        <f ca="1"/>
        <v>1.0999999999999999E-2</v>
      </c>
      <c r="F508" s="1">
        <f t="shared" ca="1" si="15"/>
        <v>-9.2249999999999988E-3</v>
      </c>
    </row>
    <row r="509" spans="1:6" x14ac:dyDescent="0.25">
      <c r="A509" t="str">
        <v>2022-04-30</v>
      </c>
      <c r="B509">
        <f ca="1"/>
        <v>2.5100000000000001E-2</v>
      </c>
      <c r="C509">
        <f ca="1"/>
        <v>2.75E-2</v>
      </c>
      <c r="D509">
        <f t="shared" ca="1" si="14"/>
        <v>2.2916666666666667E-3</v>
      </c>
      <c r="E509" s="1">
        <f ca="1"/>
        <v>3.0000000000000001E-3</v>
      </c>
      <c r="F509" s="1">
        <f t="shared" ca="1" si="15"/>
        <v>-7.0833333333333338E-4</v>
      </c>
    </row>
    <row r="510" spans="1:6" x14ac:dyDescent="0.25">
      <c r="A510" t="str">
        <v>2022-05-31</v>
      </c>
      <c r="B510">
        <f ca="1"/>
        <v>2.7900000000000001E-2</v>
      </c>
      <c r="C510">
        <f ca="1"/>
        <v>2.9000000000000001E-2</v>
      </c>
      <c r="D510">
        <f t="shared" ca="1" si="14"/>
        <v>2.4166666666666668E-3</v>
      </c>
      <c r="E510" s="1">
        <f ca="1"/>
        <v>8.9999999999999993E-3</v>
      </c>
      <c r="F510" s="1">
        <f t="shared" ca="1" si="15"/>
        <v>-6.5833333333333325E-3</v>
      </c>
    </row>
    <row r="511" spans="1:6" x14ac:dyDescent="0.25">
      <c r="A511" t="str">
        <v>2022-06-30</v>
      </c>
      <c r="B511">
        <f ca="1"/>
        <v>2.8899999999999999E-2</v>
      </c>
      <c r="C511">
        <f ca="1"/>
        <v>3.1399999999999997E-2</v>
      </c>
      <c r="D511">
        <f t="shared" ca="1" si="14"/>
        <v>2.6166666666666664E-3</v>
      </c>
      <c r="E511" s="1">
        <f ca="1"/>
        <v>1.2999999999999999E-2</v>
      </c>
      <c r="F511" s="1">
        <f t="shared" ca="1" si="15"/>
        <v>-1.0383333333333333E-2</v>
      </c>
    </row>
    <row r="512" spans="1:6" x14ac:dyDescent="0.25">
      <c r="A512" t="str">
        <v>2022-07-31</v>
      </c>
      <c r="B512">
        <f ca="1"/>
        <v>3.15E-2</v>
      </c>
      <c r="C512">
        <f ca="1"/>
        <v>2.9000000000000001E-2</v>
      </c>
      <c r="D512">
        <f t="shared" ca="1" si="14"/>
        <v>2.4166666666666668E-3</v>
      </c>
      <c r="E512" s="1">
        <f ca="1"/>
        <v>0</v>
      </c>
      <c r="F512" s="1">
        <f t="shared" ca="1" si="15"/>
        <v>2.4166666666666668E-3</v>
      </c>
    </row>
    <row r="513" spans="1:6" x14ac:dyDescent="0.25">
      <c r="A513" t="str">
        <v>2022-08-31</v>
      </c>
      <c r="B513">
        <f ca="1"/>
        <v>2.9000000000000001E-2</v>
      </c>
      <c r="C513">
        <f ca="1"/>
        <v>2.9000000000000001E-2</v>
      </c>
      <c r="D513">
        <f t="shared" ca="1" si="14"/>
        <v>2.4166666666666668E-3</v>
      </c>
      <c r="E513" s="1">
        <f ca="1"/>
        <v>1E-3</v>
      </c>
      <c r="F513" s="1">
        <f t="shared" ca="1" si="15"/>
        <v>1.4166666666666668E-3</v>
      </c>
    </row>
    <row r="514" spans="1:6" x14ac:dyDescent="0.25">
      <c r="A514" t="str">
        <v>2022-09-30</v>
      </c>
      <c r="B514">
        <f ca="1"/>
        <v>2.5399999999999999E-2</v>
      </c>
      <c r="C514">
        <f ca="1"/>
        <v>3.5200000000000002E-2</v>
      </c>
      <c r="D514">
        <f t="shared" ca="1" si="14"/>
        <v>2.9333333333333334E-3</v>
      </c>
      <c r="E514" s="1">
        <f ca="1"/>
        <v>4.0000000000000001E-3</v>
      </c>
      <c r="F514" s="1">
        <f t="shared" ca="1" si="15"/>
        <v>-1.0666666666666667E-3</v>
      </c>
    </row>
    <row r="515" spans="1:6" x14ac:dyDescent="0.25">
      <c r="A515" t="str">
        <v>2022-10-31</v>
      </c>
      <c r="B515">
        <f ca="1"/>
        <v>2.2800000000000001E-2</v>
      </c>
      <c r="C515">
        <f ca="1"/>
        <v>3.9800000000000002E-2</v>
      </c>
      <c r="D515">
        <f t="shared" ref="D515:D550" ca="1" si="16">C515/12</f>
        <v>3.316666666666667E-3</v>
      </c>
      <c r="E515" s="1">
        <f ca="1"/>
        <v>6.0000000000000001E-3</v>
      </c>
      <c r="F515" s="1">
        <f t="shared" ref="F515:F549" ca="1" si="17">D515-E515</f>
        <v>-2.6833333333333331E-3</v>
      </c>
    </row>
    <row r="516" spans="1:6" x14ac:dyDescent="0.25">
      <c r="A516" t="str">
        <v>2022-11-30</v>
      </c>
      <c r="B516">
        <f ca="1"/>
        <v>2.24E-2</v>
      </c>
      <c r="C516">
        <f ca="1"/>
        <v>3.8899999999999997E-2</v>
      </c>
      <c r="D516">
        <f t="shared" ca="1" si="16"/>
        <v>3.2416666666666666E-3</v>
      </c>
      <c r="E516" s="1">
        <f ca="1"/>
        <v>3.0000000000000001E-3</v>
      </c>
      <c r="F516" s="1">
        <f t="shared" ca="1" si="17"/>
        <v>2.4166666666666651E-4</v>
      </c>
    </row>
    <row r="517" spans="1:6" x14ac:dyDescent="0.25">
      <c r="A517" t="str">
        <v>2022-12-31</v>
      </c>
      <c r="B517">
        <f ca="1"/>
        <v>2.5100000000000001E-2</v>
      </c>
      <c r="C517">
        <f ca="1"/>
        <v>3.6200000000000003E-2</v>
      </c>
      <c r="D517">
        <f t="shared" ca="1" si="16"/>
        <v>3.0166666666666671E-3</v>
      </c>
      <c r="E517" s="1">
        <f ca="1"/>
        <v>0</v>
      </c>
      <c r="F517" s="1">
        <f t="shared" ca="1" si="17"/>
        <v>3.0166666666666671E-3</v>
      </c>
    </row>
    <row r="518" spans="1:6" x14ac:dyDescent="0.25">
      <c r="A518" t="str">
        <v>2023-01-31</v>
      </c>
      <c r="B518">
        <f ca="1"/>
        <v>2.6499999999999999E-2</v>
      </c>
      <c r="C518">
        <f ca="1"/>
        <v>3.5299999999999998E-2</v>
      </c>
      <c r="D518">
        <f t="shared" ca="1" si="16"/>
        <v>2.9416666666666666E-3</v>
      </c>
      <c r="E518" s="1">
        <f ca="1"/>
        <v>5.0000000000000001E-3</v>
      </c>
      <c r="F518" s="1">
        <f t="shared" ca="1" si="17"/>
        <v>-2.0583333333333335E-3</v>
      </c>
    </row>
    <row r="519" spans="1:6" x14ac:dyDescent="0.25">
      <c r="A519" t="str">
        <v>2023-02-28</v>
      </c>
      <c r="B519">
        <f ca="1"/>
        <v>2.3300000000000001E-2</v>
      </c>
      <c r="C519">
        <f ca="1"/>
        <v>3.7499999999999999E-2</v>
      </c>
      <c r="D519">
        <f t="shared" ca="1" si="16"/>
        <v>3.1249999999999997E-3</v>
      </c>
      <c r="E519" s="1">
        <f ca="1"/>
        <v>3.0000000000000001E-3</v>
      </c>
      <c r="F519" s="1">
        <f t="shared" ca="1" si="17"/>
        <v>1.2499999999999968E-4</v>
      </c>
    </row>
    <row r="520" spans="1:6" x14ac:dyDescent="0.25">
      <c r="A520" t="str">
        <v>2023-03-31</v>
      </c>
      <c r="B520">
        <f ca="1"/>
        <v>2.5499999999999998E-2</v>
      </c>
      <c r="C520">
        <f ca="1"/>
        <v>3.6600000000000001E-2</v>
      </c>
      <c r="D520">
        <f t="shared" ca="1" si="16"/>
        <v>3.0500000000000002E-3</v>
      </c>
      <c r="E520" s="1">
        <f ca="1"/>
        <v>1E-3</v>
      </c>
      <c r="F520" s="1">
        <f t="shared" ca="1" si="17"/>
        <v>2.0500000000000002E-3</v>
      </c>
    </row>
    <row r="521" spans="1:6" x14ac:dyDescent="0.25">
      <c r="A521" t="str">
        <v>2023-04-30</v>
      </c>
      <c r="B521">
        <f ca="1"/>
        <v>2.7099999999999999E-2</v>
      </c>
      <c r="C521">
        <f ca="1"/>
        <v>3.4599999999999999E-2</v>
      </c>
      <c r="D521">
        <f t="shared" ca="1" si="16"/>
        <v>2.8833333333333332E-3</v>
      </c>
      <c r="E521" s="1">
        <f ca="1"/>
        <v>3.0000000000000001E-3</v>
      </c>
      <c r="F521" s="1">
        <f t="shared" ca="1" si="17"/>
        <v>-1.1666666666666683E-4</v>
      </c>
    </row>
    <row r="522" spans="1:6" x14ac:dyDescent="0.25">
      <c r="A522" t="str">
        <v>2023-05-31</v>
      </c>
      <c r="B522">
        <f ca="1"/>
        <v>2.6100000000000002E-2</v>
      </c>
      <c r="C522">
        <f ca="1"/>
        <v>3.5700000000000003E-2</v>
      </c>
      <c r="D522">
        <f t="shared" ca="1" si="16"/>
        <v>2.9750000000000002E-3</v>
      </c>
      <c r="E522" s="1">
        <f ca="1"/>
        <v>2E-3</v>
      </c>
      <c r="F522" s="1">
        <f t="shared" ca="1" si="17"/>
        <v>9.7500000000000017E-4</v>
      </c>
    </row>
    <row r="523" spans="1:6" x14ac:dyDescent="0.25">
      <c r="A523" t="str">
        <v>2023-06-30</v>
      </c>
      <c r="B523">
        <f ca="1"/>
        <v>2.3E-2</v>
      </c>
      <c r="C523">
        <f ca="1"/>
        <v>3.7499999999999999E-2</v>
      </c>
      <c r="D523">
        <f t="shared" ca="1" si="16"/>
        <v>3.1249999999999997E-3</v>
      </c>
      <c r="E523" s="1">
        <f ca="1"/>
        <v>2E-3</v>
      </c>
      <c r="F523" s="1">
        <f t="shared" ca="1" si="17"/>
        <v>1.1249999999999997E-3</v>
      </c>
    </row>
    <row r="524" spans="1:6" x14ac:dyDescent="0.25">
      <c r="A524" t="str">
        <v>2023-07-31</v>
      </c>
      <c r="B524">
        <f ca="1"/>
        <v>2.06E-2</v>
      </c>
      <c r="C524">
        <f ca="1"/>
        <v>3.9E-2</v>
      </c>
      <c r="D524">
        <f t="shared" ca="1" si="16"/>
        <v>3.2499999999999999E-3</v>
      </c>
      <c r="E524" s="1">
        <f ca="1"/>
        <v>2E-3</v>
      </c>
      <c r="F524" s="1">
        <f t="shared" ca="1" si="17"/>
        <v>1.2499999999999998E-3</v>
      </c>
    </row>
    <row r="525" spans="1:6" x14ac:dyDescent="0.25">
      <c r="A525" t="str">
        <v>2023-08-31</v>
      </c>
      <c r="B525">
        <f ca="1"/>
        <v>1.89E-2</v>
      </c>
      <c r="C525">
        <f ca="1"/>
        <v>4.1700000000000001E-2</v>
      </c>
      <c r="D525">
        <f t="shared" ca="1" si="16"/>
        <v>3.4750000000000002E-3</v>
      </c>
      <c r="E525" s="1">
        <f ca="1"/>
        <v>5.0000000000000001E-3</v>
      </c>
      <c r="F525" s="1">
        <f t="shared" ca="1" si="17"/>
        <v>-1.5249999999999999E-3</v>
      </c>
    </row>
    <row r="526" spans="1:6" x14ac:dyDescent="0.25">
      <c r="A526" t="str">
        <v>2023-09-30</v>
      </c>
      <c r="B526">
        <f ca="1"/>
        <v>1.7500000000000002E-2</v>
      </c>
      <c r="C526">
        <f ca="1"/>
        <v>4.3799999999999999E-2</v>
      </c>
      <c r="D526">
        <f t="shared" ca="1" si="16"/>
        <v>3.65E-3</v>
      </c>
      <c r="E526" s="1">
        <f ca="1"/>
        <v>4.0000000000000001E-3</v>
      </c>
      <c r="F526" s="1">
        <f t="shared" ca="1" si="17"/>
        <v>-3.5000000000000005E-4</v>
      </c>
    </row>
    <row r="527" spans="1:6" x14ac:dyDescent="0.25">
      <c r="A527" t="str">
        <v>2023-10-31</v>
      </c>
      <c r="B527">
        <f ca="1"/>
        <v>1.47E-2</v>
      </c>
      <c r="C527">
        <f ca="1"/>
        <v>4.8000000000000001E-2</v>
      </c>
      <c r="D527">
        <f t="shared" ca="1" si="16"/>
        <v>4.0000000000000001E-3</v>
      </c>
      <c r="E527" s="1">
        <f ca="1"/>
        <v>1E-3</v>
      </c>
      <c r="F527" s="1">
        <f t="shared" ca="1" si="17"/>
        <v>3.0000000000000001E-3</v>
      </c>
    </row>
    <row r="528" spans="1:6" x14ac:dyDescent="0.25">
      <c r="A528" t="str">
        <v>2023-11-30</v>
      </c>
      <c r="B528">
        <f ca="1"/>
        <v>1.6299999999999999E-2</v>
      </c>
      <c r="C528">
        <f ca="1"/>
        <v>4.4999999999999998E-2</v>
      </c>
      <c r="D528">
        <f t="shared" ca="1" si="16"/>
        <v>3.7499999999999999E-3</v>
      </c>
      <c r="E528" s="1">
        <f ca="1"/>
        <v>1E-3</v>
      </c>
      <c r="F528" s="1">
        <f t="shared" ca="1" si="17"/>
        <v>2.7499999999999998E-3</v>
      </c>
    </row>
    <row r="529" spans="1:6" x14ac:dyDescent="0.25">
      <c r="A529" t="str">
        <v>2023-12-31</v>
      </c>
      <c r="B529">
        <f ca="1"/>
        <v>1.95E-2</v>
      </c>
      <c r="C529">
        <f ca="1"/>
        <v>4.02E-2</v>
      </c>
      <c r="D529">
        <f t="shared" ca="1" si="16"/>
        <v>3.3500000000000001E-3</v>
      </c>
      <c r="E529" s="1">
        <f ca="1"/>
        <v>2E-3</v>
      </c>
      <c r="F529" s="1">
        <f t="shared" ca="1" si="17"/>
        <v>1.3500000000000001E-3</v>
      </c>
    </row>
    <row r="530" spans="1:6" x14ac:dyDescent="0.25">
      <c r="A530" t="str">
        <v>2024-01-31</v>
      </c>
      <c r="B530">
        <f ca="1"/>
        <v>1.8599999999999998E-2</v>
      </c>
      <c r="C530">
        <f ca="1"/>
        <v>4.0599999999999997E-2</v>
      </c>
      <c r="D530">
        <f t="shared" ca="1" si="16"/>
        <v>3.3833333333333332E-3</v>
      </c>
      <c r="E530" s="1">
        <f ca="1"/>
        <v>3.0000000000000001E-3</v>
      </c>
      <c r="F530" s="1">
        <f t="shared" ca="1" si="17"/>
        <v>3.8333333333333318E-4</v>
      </c>
    </row>
    <row r="531" spans="1:6" x14ac:dyDescent="0.25">
      <c r="A531" t="str">
        <v>2024-02-29</v>
      </c>
      <c r="B531">
        <f ca="1"/>
        <v>1.6500000000000001E-2</v>
      </c>
      <c r="C531">
        <f ca="1"/>
        <v>4.2099999999999999E-2</v>
      </c>
      <c r="D531">
        <f t="shared" ca="1" si="16"/>
        <v>3.5083333333333334E-3</v>
      </c>
      <c r="E531" s="1">
        <f ca="1"/>
        <v>4.0000000000000001E-3</v>
      </c>
      <c r="F531" s="1">
        <f t="shared" ca="1" si="17"/>
        <v>-4.9166666666666673E-4</v>
      </c>
    </row>
    <row r="532" spans="1:6" x14ac:dyDescent="0.25">
      <c r="A532" t="str">
        <v>2024-03-31</v>
      </c>
      <c r="B532">
        <f ca="1"/>
        <v>1.5800000000000002E-2</v>
      </c>
      <c r="C532">
        <f ca="1"/>
        <v>4.2099999999999999E-2</v>
      </c>
      <c r="D532">
        <f t="shared" ca="1" si="16"/>
        <v>3.5083333333333334E-3</v>
      </c>
      <c r="E532" s="1">
        <f ca="1"/>
        <v>4.0000000000000001E-3</v>
      </c>
      <c r="F532" s="1">
        <f t="shared" ca="1" si="17"/>
        <v>-4.9166666666666673E-4</v>
      </c>
    </row>
    <row r="533" spans="1:6" x14ac:dyDescent="0.25">
      <c r="A533" t="str">
        <v>2024-04-30</v>
      </c>
      <c r="B533">
        <f ca="1"/>
        <v>1.3100000000000001E-2</v>
      </c>
      <c r="C533">
        <f ca="1"/>
        <v>4.5400000000000003E-2</v>
      </c>
      <c r="D533">
        <f t="shared" ca="1" si="16"/>
        <v>3.7833333333333334E-3</v>
      </c>
      <c r="E533" s="1">
        <f ca="1"/>
        <v>2E-3</v>
      </c>
      <c r="F533" s="1">
        <f t="shared" ca="1" si="17"/>
        <v>1.7833333333333334E-3</v>
      </c>
    </row>
    <row r="534" spans="1:6" x14ac:dyDescent="0.25">
      <c r="A534" t="str">
        <v>2024-05-31</v>
      </c>
      <c r="B534">
        <f ca="1"/>
        <v>1.2999999999999999E-2</v>
      </c>
      <c r="C534">
        <f ca="1"/>
        <v>4.48E-2</v>
      </c>
      <c r="D534">
        <f t="shared" ca="1" si="16"/>
        <v>3.7333333333333333E-3</v>
      </c>
      <c r="E534" s="1">
        <f ca="1"/>
        <v>0</v>
      </c>
      <c r="F534" s="1">
        <f t="shared" ca="1" si="17"/>
        <v>3.7333333333333333E-3</v>
      </c>
    </row>
    <row r="535" spans="1:6" x14ac:dyDescent="0.25">
      <c r="A535" t="str">
        <v>2024-06-30</v>
      </c>
      <c r="B535">
        <f ca="1"/>
        <v>1.3599999999999999E-2</v>
      </c>
      <c r="C535">
        <f ca="1"/>
        <v>4.3099999999999999E-2</v>
      </c>
      <c r="D535">
        <f t="shared" ca="1" si="16"/>
        <v>3.5916666666666666E-3</v>
      </c>
      <c r="E535" s="1">
        <f ca="1"/>
        <v>0</v>
      </c>
      <c r="F535" s="1">
        <f t="shared" ca="1" si="17"/>
        <v>3.5916666666666666E-3</v>
      </c>
    </row>
    <row r="536" spans="1:6" x14ac:dyDescent="0.25">
      <c r="A536" t="str">
        <v>2024-07-31</v>
      </c>
      <c r="B536">
        <f ca="1"/>
        <v>1.3899999999999999E-2</v>
      </c>
      <c r="C536">
        <f ca="1"/>
        <v>4.2500000000000003E-2</v>
      </c>
      <c r="D536">
        <f t="shared" ca="1" si="16"/>
        <v>3.5416666666666669E-3</v>
      </c>
      <c r="E536" s="1">
        <f ca="1"/>
        <v>2E-3</v>
      </c>
      <c r="F536" s="1">
        <f t="shared" ca="1" si="17"/>
        <v>1.5416666666666669E-3</v>
      </c>
    </row>
    <row r="537" spans="1:6" x14ac:dyDescent="0.25">
      <c r="A537" t="str">
        <v>2024-08-31</v>
      </c>
      <c r="B537">
        <f ca="1"/>
        <v>1.84E-2</v>
      </c>
      <c r="C537">
        <f ca="1"/>
        <v>3.8699999999999998E-2</v>
      </c>
      <c r="D537">
        <f t="shared" ca="1" si="16"/>
        <v>3.225E-3</v>
      </c>
      <c r="E537" s="1">
        <f ca="1"/>
        <v>2E-3</v>
      </c>
      <c r="F537" s="1">
        <f t="shared" ca="1" si="17"/>
        <v>1.225E-3</v>
      </c>
    </row>
    <row r="538" spans="1:6" x14ac:dyDescent="0.25">
      <c r="A538" t="str">
        <v>2024-09-30</v>
      </c>
      <c r="B538">
        <f ca="1"/>
        <v>1.9400000000000001E-2</v>
      </c>
      <c r="C538">
        <f ca="1"/>
        <v>3.7199999999999997E-2</v>
      </c>
      <c r="D538">
        <f t="shared" ca="1" si="16"/>
        <v>3.0999999999999999E-3</v>
      </c>
      <c r="E538" s="1">
        <f ca="1"/>
        <v>2E-3</v>
      </c>
      <c r="F538" s="1">
        <f t="shared" ca="1" si="17"/>
        <v>1.0999999999999998E-3</v>
      </c>
    </row>
    <row r="539" spans="1:6" x14ac:dyDescent="0.25">
      <c r="A539" t="str">
        <v>2024-10-31</v>
      </c>
      <c r="B539">
        <f ca="1"/>
        <v>1.52E-2</v>
      </c>
      <c r="C539">
        <f ca="1"/>
        <v>4.1000000000000002E-2</v>
      </c>
      <c r="D539">
        <f t="shared" ca="1" si="16"/>
        <v>3.4166666666666668E-3</v>
      </c>
      <c r="E539" s="1">
        <f ca="1"/>
        <v>3.0000000000000001E-3</v>
      </c>
      <c r="F539" s="1">
        <f t="shared" ca="1" si="17"/>
        <v>4.1666666666666675E-4</v>
      </c>
    </row>
    <row r="540" spans="1:6" x14ac:dyDescent="0.25">
      <c r="A540" t="str">
        <v>2024-11-30</v>
      </c>
      <c r="B540">
        <f ca="1"/>
        <v>1.26E-2</v>
      </c>
      <c r="C540">
        <f ca="1"/>
        <v>4.36E-2</v>
      </c>
      <c r="D540">
        <f t="shared" ca="1" si="16"/>
        <v>3.6333333333333335E-3</v>
      </c>
      <c r="E540" s="1">
        <f ca="1"/>
        <v>3.0000000000000001E-3</v>
      </c>
      <c r="F540" s="1">
        <f t="shared" ca="1" si="17"/>
        <v>6.333333333333334E-4</v>
      </c>
    </row>
    <row r="541" spans="1:6" x14ac:dyDescent="0.25">
      <c r="A541" t="str">
        <v>2024-12-31</v>
      </c>
      <c r="B541">
        <f ca="1"/>
        <v>1.26E-2</v>
      </c>
      <c r="C541">
        <f ca="1"/>
        <v>4.3900000000000002E-2</v>
      </c>
      <c r="D541">
        <f t="shared" ca="1" si="16"/>
        <v>3.6583333333333333E-3</v>
      </c>
      <c r="E541" s="1">
        <f ca="1"/>
        <v>3.0000000000000001E-3</v>
      </c>
      <c r="F541" s="1">
        <f t="shared" ca="1" si="17"/>
        <v>6.5833333333333325E-4</v>
      </c>
    </row>
    <row r="542" spans="1:6" x14ac:dyDescent="0.25">
      <c r="A542" t="str">
        <v>2025-01-31</v>
      </c>
      <c r="B542">
        <f ca="1"/>
        <v>1.18E-2</v>
      </c>
      <c r="C542">
        <f ca="1"/>
        <v>4.6300000000000001E-2</v>
      </c>
      <c r="D542">
        <f t="shared" ca="1" si="16"/>
        <v>3.8583333333333334E-3</v>
      </c>
      <c r="E542" s="1">
        <f ca="1"/>
        <v>4.0000000000000001E-3</v>
      </c>
      <c r="F542" s="1">
        <f t="shared" ca="1" si="17"/>
        <v>-1.4166666666666668E-4</v>
      </c>
    </row>
    <row r="543" spans="1:6" x14ac:dyDescent="0.25">
      <c r="A543" t="str">
        <v>2025-02-28</v>
      </c>
      <c r="B543">
        <f ca="1"/>
        <v>1.3599999999999999E-2</v>
      </c>
      <c r="C543">
        <f ca="1"/>
        <v>4.4499999999999998E-2</v>
      </c>
      <c r="D543">
        <f t="shared" ca="1" si="16"/>
        <v>3.708333333333333E-3</v>
      </c>
      <c r="E543" s="1">
        <f ca="1"/>
        <v>2E-3</v>
      </c>
      <c r="F543" s="1">
        <f t="shared" ca="1" si="17"/>
        <v>1.708333333333333E-3</v>
      </c>
    </row>
    <row r="544" spans="1:6" x14ac:dyDescent="0.25">
      <c r="A544" t="str">
        <v>2025-03-31</v>
      </c>
      <c r="B544">
        <f ca="1"/>
        <v>1.67E-2</v>
      </c>
      <c r="C544">
        <f ca="1"/>
        <v>4.2799999999999998E-2</v>
      </c>
      <c r="D544">
        <f t="shared" ca="1" si="16"/>
        <v>3.5666666666666663E-3</v>
      </c>
      <c r="E544" s="1">
        <f ca="1"/>
        <v>0</v>
      </c>
      <c r="F544" s="1">
        <f t="shared" ca="1" si="17"/>
        <v>3.5666666666666663E-3</v>
      </c>
    </row>
    <row r="545" spans="1:6" x14ac:dyDescent="0.25">
      <c r="A545" t="str">
        <v>2025-04-30</v>
      </c>
      <c r="B545">
        <f ca="1"/>
        <v>1.8800000000000001E-2</v>
      </c>
      <c r="C545">
        <f ca="1"/>
        <v>4.2799999999999998E-2</v>
      </c>
      <c r="D545">
        <f t="shared" ca="1" si="16"/>
        <v>3.5666666666666663E-3</v>
      </c>
      <c r="E545" s="1">
        <f ca="1"/>
        <v>2E-3</v>
      </c>
      <c r="F545" s="1">
        <f t="shared" ca="1" si="17"/>
        <v>1.5666666666666663E-3</v>
      </c>
    </row>
    <row r="546" spans="1:6" x14ac:dyDescent="0.25">
      <c r="A546" t="str">
        <v>2025-05-31</v>
      </c>
      <c r="B546">
        <f ca="1"/>
        <v>1.49E-2</v>
      </c>
      <c r="C546">
        <f ca="1"/>
        <v>4.4200000000000003E-2</v>
      </c>
      <c r="D546">
        <f t="shared" ca="1" si="16"/>
        <v>3.6833333333333336E-3</v>
      </c>
      <c r="E546" s="1">
        <f ca="1"/>
        <v>1E-3</v>
      </c>
      <c r="F546" s="1">
        <f t="shared" ca="1" si="17"/>
        <v>2.6833333333333336E-3</v>
      </c>
    </row>
    <row r="547" spans="1:6" x14ac:dyDescent="0.25">
      <c r="A547" t="str">
        <v>2025-06-30</v>
      </c>
      <c r="B547">
        <f ca="1"/>
        <v>1.4500000000000001E-2</v>
      </c>
      <c r="C547">
        <f ca="1"/>
        <v>4.3799999999999999E-2</v>
      </c>
      <c r="D547">
        <f t="shared" ca="1" si="16"/>
        <v>3.65E-3</v>
      </c>
      <c r="E547" s="1">
        <f ca="1"/>
        <v>3.0000000000000001E-3</v>
      </c>
      <c r="F547" s="1">
        <f t="shared" ca="1" si="17"/>
        <v>6.4999999999999997E-4</v>
      </c>
    </row>
    <row r="548" spans="1:6" x14ac:dyDescent="0.25">
      <c r="A548" t="str">
        <v>2025-07-31</v>
      </c>
      <c r="B548">
        <f ca="1"/>
        <v>1.35E-2</v>
      </c>
      <c r="C548">
        <f ca="1"/>
        <v>4.3900000000000002E-2</v>
      </c>
      <c r="D548">
        <f t="shared" ca="1" si="16"/>
        <v>3.6583333333333333E-3</v>
      </c>
      <c r="E548" s="1">
        <f ca="1"/>
        <v>2E-3</v>
      </c>
      <c r="F548" s="1">
        <f t="shared" ca="1" si="17"/>
        <v>1.6583333333333333E-3</v>
      </c>
    </row>
    <row r="549" spans="1:6" x14ac:dyDescent="0.25">
      <c r="A549" t="str">
        <v>2025-08-31</v>
      </c>
      <c r="B549">
        <f ca="1"/>
        <v>1.4999999999999999E-2</v>
      </c>
      <c r="C549">
        <f ca="1"/>
        <v>4.2599999999999999E-2</v>
      </c>
      <c r="D549">
        <f t="shared" ca="1" si="16"/>
        <v>3.5499999999999998E-3</v>
      </c>
      <c r="E549" s="1">
        <f ca="1"/>
        <v>3.0000000000000001E-3</v>
      </c>
      <c r="F549" s="1">
        <f t="shared" ca="1" si="17"/>
        <v>5.4999999999999971E-4</v>
      </c>
    </row>
    <row r="550" spans="1:6" x14ac:dyDescent="0.25">
      <c r="A550" t="str">
        <v>2025-09-30</v>
      </c>
      <c r="B550">
        <f ca="1"/>
        <v>1.6299999999999999E-2</v>
      </c>
      <c r="C550">
        <f ca="1"/>
        <v>4.1200000000000001E-2</v>
      </c>
      <c r="D550">
        <f t="shared" ca="1" si="16"/>
        <v>3.4333333333333334E-3</v>
      </c>
      <c r="E550" s="1">
        <f ca="1"/>
        <v>3.0000000000000001E-3</v>
      </c>
    </row>
    <row r="551" spans="1:6" x14ac:dyDescent="0.25">
      <c r="A551" t="str">
        <v>2025-10-31</v>
      </c>
      <c r="B551">
        <f ca="1"/>
        <v>1.67E-2</v>
      </c>
      <c r="C551">
        <f ca="1"/>
        <v>4.0599999999999997E-2</v>
      </c>
      <c r="E551" s="1" t="str">
        <f ca="1"/>
        <v>ERR: NO DATA</v>
      </c>
    </row>
    <row r="552" spans="1:6" x14ac:dyDescent="0.25">
      <c r="A552" t="str">
        <v>2025-11-30</v>
      </c>
      <c r="B552">
        <f ca="1"/>
        <v>1.6299999999999999E-2</v>
      </c>
      <c r="C552">
        <f ca="1"/>
        <v>4.0899999999999999E-2</v>
      </c>
      <c r="E552" s="1" t="str">
        <f ca="1"/>
        <v>ERR: NO DATA</v>
      </c>
    </row>
    <row r="553" spans="1:6" x14ac:dyDescent="0.25">
      <c r="A553" t="str">
        <v>2025-12-31</v>
      </c>
      <c r="B553">
        <f ca="1"/>
        <v>1.5900000000000001E-2</v>
      </c>
      <c r="C553">
        <f ca="1"/>
        <v>4.1399999999999999E-2</v>
      </c>
      <c r="E553" s="1">
        <f ca="1"/>
        <v>3.0000000000000001E-3</v>
      </c>
    </row>
    <row r="554" spans="1:6" x14ac:dyDescent="0.25">
      <c r="A554" t="str">
        <v>2026-01-31</v>
      </c>
      <c r="B554">
        <f ca="1"/>
        <v>1.5299999999999999E-2</v>
      </c>
      <c r="C554">
        <f ca="1"/>
        <v>4.2099999999999999E-2</v>
      </c>
      <c r="E554" s="1">
        <f ca="1"/>
        <v>2E-3</v>
      </c>
    </row>
    <row r="555" spans="1:6" x14ac:dyDescent="0.25">
      <c r="A555" t="str">
        <v>2026-02-28</v>
      </c>
      <c r="B555">
        <f ca="1"/>
        <v>1.6899999999999998E-2</v>
      </c>
      <c r="C555">
        <f ca="1"/>
        <v>4.1300000000000003E-2</v>
      </c>
      <c r="E555" s="1">
        <f ca="1"/>
        <v>3.0000000000000001E-3</v>
      </c>
    </row>
    <row r="556" spans="1:6" x14ac:dyDescent="0.25">
      <c r="A556" t="str">
        <v>2026-03-31</v>
      </c>
      <c r="B556">
        <f ca="1"/>
        <v>1.77E-2</v>
      </c>
      <c r="C556">
        <f ca="1"/>
        <v>4.2500000000000003E-2</v>
      </c>
      <c r="E556" s="1">
        <f ca="1"/>
        <v>8.9999999999999993E-3</v>
      </c>
    </row>
    <row r="557" spans="1:6" x14ac:dyDescent="0.25">
      <c r="A557" t="str">
        <v>2026-04-30</v>
      </c>
      <c r="B557">
        <f ca="1"/>
        <v>1.66E-2</v>
      </c>
      <c r="C557">
        <f ca="1"/>
        <v>4.3200000000000002E-2</v>
      </c>
      <c r="E557" s="1">
        <f ca="1"/>
        <v>6.0000000000000001E-3</v>
      </c>
    </row>
    <row r="558" spans="1:6" x14ac:dyDescent="0.25">
      <c r="A558" t="str">
        <v>2026-05-31</v>
      </c>
      <c r="B558">
        <f ca="1"/>
        <v>1.3899999999999999E-2</v>
      </c>
      <c r="C558">
        <f ca="1"/>
        <v>4.48E-2</v>
      </c>
      <c r="E558" s="1">
        <f ca="1"/>
        <v>5.0000000000000001E-3</v>
      </c>
    </row>
    <row r="559" spans="1:6" x14ac:dyDescent="0.25">
      <c r="A559" t="str">
        <v>2026-06-30</v>
      </c>
      <c r="B559">
        <f ca="1"/>
        <v>1.3100000000000001E-2</v>
      </c>
      <c r="C559">
        <f ca="1"/>
        <v>4.4699999999999997E-2</v>
      </c>
      <c r="E559" s="1">
        <f ca="1"/>
        <v>-4.0000000000000001E-3</v>
      </c>
    </row>
    <row r="560" spans="1:6" x14ac:dyDescent="0.25">
      <c r="A560" t="str">
        <v>2026-07-31</v>
      </c>
      <c r="B560">
        <f ca="1"/>
        <v>1.18E-2</v>
      </c>
      <c r="C560">
        <f ca="1"/>
        <v>4.5999999999999999E-2</v>
      </c>
      <c r="E560" s="1">
        <f ca="1"/>
        <v>1E-3</v>
      </c>
    </row>
    <row r="561" spans="1:3" x14ac:dyDescent="0.25">
      <c r="A561" t="str">
        <v>2026-08-31</v>
      </c>
      <c r="B561">
        <f ca="1"/>
        <v>9.7000000000000003E-3</v>
      </c>
      <c r="C561">
        <f ca="1"/>
        <v>4.7500000000000001E-2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A079-CA0B-477E-8FC4-5F43798C1EE5}">
  <dimension ref="A1:J681"/>
  <sheetViews>
    <sheetView tabSelected="1" topLeftCell="A658" workbookViewId="0">
      <selection activeCell="B682" sqref="B682"/>
    </sheetView>
  </sheetViews>
  <sheetFormatPr defaultRowHeight="15" x14ac:dyDescent="0.25"/>
  <cols>
    <col min="1" max="1" width="10.42578125" bestFit="1" customWidth="1"/>
    <col min="2" max="2" width="16.140625" bestFit="1" customWidth="1"/>
    <col min="5" max="5" width="10.85546875" bestFit="1" customWidth="1"/>
    <col min="6" max="6" width="11.7109375" bestFit="1" customWidth="1"/>
    <col min="8" max="8" width="12" bestFit="1" customWidth="1"/>
    <col min="10" max="10" width="10.85546875" bestFit="1" customWidth="1"/>
  </cols>
  <sheetData>
    <row r="1" spans="1:10" x14ac:dyDescent="0.25">
      <c r="A1" t="s">
        <v>0</v>
      </c>
      <c r="B1" t="s">
        <v>8</v>
      </c>
      <c r="C1" t="s">
        <v>2</v>
      </c>
      <c r="D1" t="s">
        <v>7</v>
      </c>
      <c r="E1" t="s">
        <v>11</v>
      </c>
      <c r="F1" t="s">
        <v>6</v>
      </c>
      <c r="G1" t="s">
        <v>4</v>
      </c>
      <c r="H1" t="s">
        <v>10</v>
      </c>
      <c r="I1" t="s">
        <v>1</v>
      </c>
      <c r="J1" t="s">
        <v>12</v>
      </c>
    </row>
    <row r="2" spans="1:10" x14ac:dyDescent="0.25">
      <c r="A2" t="str">
        <f t="array" ref="A2:A681">_xll.YCDS("I:USLTIR",,"1970-01-31")</f>
        <v>1970-01-31</v>
      </c>
      <c r="B2">
        <f t="shared" ref="B2:B65" ca="1" si="0">F2*$C$669/C2</f>
        <v>48.877504749340375</v>
      </c>
      <c r="C2">
        <f t="array" aca="1" ref="C2:C680" ca="1">_xll.YCS("I:USCPI",,"1970-01-31")</f>
        <v>37.9</v>
      </c>
      <c r="D2">
        <f t="array" aca="1" ref="D2:D681" ca="1">_xll.YCS("I:USLTIR",,"1970-01-31")</f>
        <v>7.7899999999999997E-2</v>
      </c>
      <c r="E2">
        <f ca="1">D2/12</f>
        <v>6.4916666666666664E-3</v>
      </c>
      <c r="F2">
        <f t="array" aca="1" ref="F2:F676" ca="1">_xll.YCS("I:SP500E",,"1970-01-31")</f>
        <v>5.73</v>
      </c>
      <c r="G2">
        <v>5.4000000000000003E-3</v>
      </c>
      <c r="H2">
        <f ca="1">E2-G2</f>
        <v>1.0916666666666661E-3</v>
      </c>
      <c r="I2" s="2">
        <f t="array" aca="1" ref="I2:I681" ca="1">_xll.YCS("I:SP500ECY",,"1970-01-31")</f>
        <v>6.4000000000000003E-3</v>
      </c>
      <c r="J2" s="2">
        <f t="array" aca="1" ref="J2:J679" ca="1">_xll.YCS("I:SP500RD", ,"1970-01-31")</f>
        <v>21.813400000000001</v>
      </c>
    </row>
    <row r="3" spans="1:10" x14ac:dyDescent="0.25">
      <c r="A3" t="str">
        <v>1970-02-28</v>
      </c>
      <c r="B3">
        <f t="shared" ca="1" si="0"/>
        <v>48.196663517060365</v>
      </c>
      <c r="C3">
        <f ca="1"/>
        <v>38.1</v>
      </c>
      <c r="D3">
        <f ca="1"/>
        <v>7.2400000000000006E-2</v>
      </c>
      <c r="E3">
        <f t="shared" ref="E3:E66" ca="1" si="1">D3/12</f>
        <v>6.0333333333333341E-3</v>
      </c>
      <c r="F3">
        <f ca="1"/>
        <v>5.68</v>
      </c>
      <c r="G3">
        <f ca="1">C3/C2-1</f>
        <v>5.2770448548813409E-3</v>
      </c>
      <c r="H3">
        <f t="shared" ref="H3:H66" ca="1" si="2">E3-G3</f>
        <v>7.5628847845199323E-4</v>
      </c>
      <c r="I3">
        <f ca="1"/>
        <v>1.47E-2</v>
      </c>
      <c r="J3">
        <f ca="1"/>
        <v>21.721499999999999</v>
      </c>
    </row>
    <row r="4" spans="1:10" x14ac:dyDescent="0.25">
      <c r="A4" t="str">
        <v>1970-03-31</v>
      </c>
      <c r="B4">
        <f t="shared" ca="1" si="0"/>
        <v>47.522932898172328</v>
      </c>
      <c r="C4">
        <f ca="1"/>
        <v>38.299999999999997</v>
      </c>
      <c r="D4">
        <f ca="1"/>
        <v>7.0699999999999999E-2</v>
      </c>
      <c r="E4">
        <f t="shared" ca="1" si="1"/>
        <v>5.8916666666666666E-3</v>
      </c>
      <c r="F4">
        <f ca="1"/>
        <v>5.63</v>
      </c>
      <c r="G4">
        <f t="shared" ref="G4:G67" ca="1" si="3">C4/C3-1</f>
        <v>5.249343832020914E-3</v>
      </c>
      <c r="H4">
        <f t="shared" ca="1" si="2"/>
        <v>6.4232283464575254E-4</v>
      </c>
      <c r="I4">
        <f ca="1"/>
        <v>1.6299999999999999E-2</v>
      </c>
      <c r="J4">
        <f ca="1"/>
        <v>21.630500000000001</v>
      </c>
    </row>
    <row r="5" spans="1:10" x14ac:dyDescent="0.25">
      <c r="A5" t="str">
        <v>1970-04-30</v>
      </c>
      <c r="B5">
        <f t="shared" ca="1" si="0"/>
        <v>46.96813633844156</v>
      </c>
      <c r="C5">
        <f ca="1"/>
        <v>38.5</v>
      </c>
      <c r="D5">
        <f ca="1"/>
        <v>7.3899999999999993E-2</v>
      </c>
      <c r="E5">
        <f t="shared" ca="1" si="1"/>
        <v>6.1583333333333325E-3</v>
      </c>
      <c r="F5">
        <f ca="1"/>
        <v>5.5933299999999999</v>
      </c>
      <c r="G5">
        <f t="shared" ca="1" si="3"/>
        <v>5.2219321148825326E-3</v>
      </c>
      <c r="H5">
        <f t="shared" ca="1" si="2"/>
        <v>9.3640121845079988E-4</v>
      </c>
      <c r="I5">
        <f ca="1"/>
        <v>1.61E-2</v>
      </c>
      <c r="J5">
        <f ca="1"/>
        <v>21.484500000000001</v>
      </c>
    </row>
    <row r="6" spans="1:10" x14ac:dyDescent="0.25">
      <c r="A6" t="str">
        <v>1970-05-31</v>
      </c>
      <c r="B6">
        <f t="shared" ca="1" si="0"/>
        <v>46.53941453290156</v>
      </c>
      <c r="C6">
        <f ca="1"/>
        <v>38.6</v>
      </c>
      <c r="D6">
        <f ca="1"/>
        <v>7.9100000000000004E-2</v>
      </c>
      <c r="E6">
        <f t="shared" ca="1" si="1"/>
        <v>6.5916666666666667E-3</v>
      </c>
      <c r="F6">
        <f ca="1"/>
        <v>5.5566700000000004</v>
      </c>
      <c r="G6">
        <f t="shared" ca="1" si="3"/>
        <v>2.5974025974027093E-3</v>
      </c>
      <c r="H6">
        <f t="shared" ca="1" si="2"/>
        <v>3.9942640692639574E-3</v>
      </c>
      <c r="I6">
        <f ca="1"/>
        <v>1.9699999999999999E-2</v>
      </c>
      <c r="J6">
        <f ca="1"/>
        <v>21.45139</v>
      </c>
    </row>
    <row r="7" spans="1:10" x14ac:dyDescent="0.25">
      <c r="A7" t="str">
        <v>1970-06-30</v>
      </c>
      <c r="B7">
        <f t="shared" ca="1" si="0"/>
        <v>45.993977319587628</v>
      </c>
      <c r="C7">
        <f ca="1"/>
        <v>38.799999999999997</v>
      </c>
      <c r="D7">
        <f ca="1"/>
        <v>7.8399999999999997E-2</v>
      </c>
      <c r="E7">
        <f t="shared" ca="1" si="1"/>
        <v>6.5333333333333328E-3</v>
      </c>
      <c r="F7">
        <f ca="1"/>
        <v>5.52</v>
      </c>
      <c r="G7">
        <f t="shared" ca="1" si="3"/>
        <v>5.1813471502588637E-3</v>
      </c>
      <c r="H7">
        <f t="shared" ca="1" si="2"/>
        <v>1.3519861830744691E-3</v>
      </c>
      <c r="I7">
        <f ca="1"/>
        <v>2.1499999999999998E-2</v>
      </c>
      <c r="J7">
        <f ca="1"/>
        <v>21.363189999999999</v>
      </c>
    </row>
    <row r="8" spans="1:10" x14ac:dyDescent="0.25">
      <c r="A8" t="str">
        <v>1970-07-31</v>
      </c>
      <c r="B8">
        <f t="shared" ca="1" si="0"/>
        <v>45.432524703598972</v>
      </c>
      <c r="C8">
        <f ca="1"/>
        <v>38.9</v>
      </c>
      <c r="D8">
        <f ca="1"/>
        <v>7.46E-2</v>
      </c>
      <c r="E8">
        <f t="shared" ca="1" si="1"/>
        <v>6.2166666666666663E-3</v>
      </c>
      <c r="F8">
        <f ca="1"/>
        <v>5.4666699999999997</v>
      </c>
      <c r="G8">
        <f t="shared" ca="1" si="3"/>
        <v>2.5773195876288568E-3</v>
      </c>
      <c r="H8">
        <f t="shared" ca="1" si="2"/>
        <v>3.6393470790378095E-3</v>
      </c>
      <c r="I8">
        <f ca="1"/>
        <v>2.6200000000000001E-2</v>
      </c>
      <c r="J8">
        <f ca="1"/>
        <v>21.27589</v>
      </c>
    </row>
    <row r="9" spans="1:10" x14ac:dyDescent="0.25">
      <c r="A9" t="str">
        <v>1970-08-31</v>
      </c>
      <c r="B9">
        <f t="shared" ca="1" si="0"/>
        <v>44.873868436666669</v>
      </c>
      <c r="C9">
        <f ca="1"/>
        <v>39</v>
      </c>
      <c r="D9">
        <f ca="1"/>
        <v>7.5300000000000006E-2</v>
      </c>
      <c r="E9">
        <f t="shared" ca="1" si="1"/>
        <v>6.2750000000000002E-3</v>
      </c>
      <c r="F9">
        <f ca="1"/>
        <v>5.4133300000000002</v>
      </c>
      <c r="G9">
        <f t="shared" ca="1" si="3"/>
        <v>2.5706940874037354E-3</v>
      </c>
      <c r="H9">
        <f t="shared" ca="1" si="2"/>
        <v>3.7043059125962648E-3</v>
      </c>
      <c r="I9">
        <f ca="1"/>
        <v>2.3599999999999999E-2</v>
      </c>
      <c r="J9">
        <f ca="1"/>
        <v>21.298210000000001</v>
      </c>
    </row>
    <row r="10" spans="1:10" x14ac:dyDescent="0.25">
      <c r="A10" t="str">
        <v>1970-09-30</v>
      </c>
      <c r="B10">
        <f t="shared" ca="1" si="0"/>
        <v>44.205095918367348</v>
      </c>
      <c r="C10">
        <f ca="1"/>
        <v>39.200000000000003</v>
      </c>
      <c r="D10">
        <f ca="1"/>
        <v>7.3899999999999993E-2</v>
      </c>
      <c r="E10">
        <f t="shared" ca="1" si="1"/>
        <v>6.1583333333333325E-3</v>
      </c>
      <c r="F10">
        <f ca="1"/>
        <v>5.36</v>
      </c>
      <c r="G10">
        <f t="shared" ca="1" si="3"/>
        <v>5.12820512820511E-3</v>
      </c>
      <c r="H10">
        <f t="shared" ca="1" si="2"/>
        <v>1.0301282051282225E-3</v>
      </c>
      <c r="I10">
        <f ca="1"/>
        <v>2.1999999999999999E-2</v>
      </c>
      <c r="J10">
        <f ca="1"/>
        <v>21.211690000000001</v>
      </c>
    </row>
    <row r="11" spans="1:10" x14ac:dyDescent="0.25">
      <c r="A11" t="str">
        <v>1970-10-31</v>
      </c>
      <c r="B11">
        <f t="shared" ca="1" si="0"/>
        <v>43.351599975380715</v>
      </c>
      <c r="C11">
        <f ca="1"/>
        <v>39.4</v>
      </c>
      <c r="D11">
        <f ca="1"/>
        <v>7.3300000000000004E-2</v>
      </c>
      <c r="E11">
        <f t="shared" ca="1" si="1"/>
        <v>6.1083333333333337E-3</v>
      </c>
      <c r="F11">
        <f ca="1"/>
        <v>5.2833300000000003</v>
      </c>
      <c r="G11">
        <f t="shared" ca="1" si="3"/>
        <v>5.1020408163264808E-3</v>
      </c>
      <c r="H11">
        <f t="shared" ca="1" si="2"/>
        <v>1.0062925170068529E-3</v>
      </c>
      <c r="I11">
        <f ca="1"/>
        <v>2.1399999999999999E-2</v>
      </c>
      <c r="J11">
        <f ca="1"/>
        <v>20.993729999999999</v>
      </c>
    </row>
    <row r="12" spans="1:10" x14ac:dyDescent="0.25">
      <c r="A12" t="str">
        <v>1970-11-30</v>
      </c>
      <c r="B12">
        <f t="shared" ca="1" si="0"/>
        <v>42.506806842676767</v>
      </c>
      <c r="C12">
        <f ca="1"/>
        <v>39.6</v>
      </c>
      <c r="D12">
        <f ca="1"/>
        <v>6.8400000000000002E-2</v>
      </c>
      <c r="E12">
        <f t="shared" ca="1" si="1"/>
        <v>5.7000000000000002E-3</v>
      </c>
      <c r="F12">
        <f ca="1"/>
        <v>5.2066699999999999</v>
      </c>
      <c r="G12">
        <f t="shared" ca="1" si="3"/>
        <v>5.0761421319798217E-3</v>
      </c>
      <c r="H12">
        <f t="shared" ca="1" si="2"/>
        <v>6.2385786802017854E-4</v>
      </c>
      <c r="I12">
        <f ca="1"/>
        <v>2.7300000000000001E-2</v>
      </c>
      <c r="J12">
        <f ca="1"/>
        <v>20.778040000000001</v>
      </c>
    </row>
    <row r="13" spans="1:10" x14ac:dyDescent="0.25">
      <c r="A13" t="str">
        <v>1970-12-31</v>
      </c>
      <c r="B13">
        <f t="shared" ca="1" si="0"/>
        <v>41.670422864321608</v>
      </c>
      <c r="C13">
        <f ca="1"/>
        <v>39.799999999999997</v>
      </c>
      <c r="D13">
        <f ca="1"/>
        <v>6.3899999999999998E-2</v>
      </c>
      <c r="E13">
        <f t="shared" ca="1" si="1"/>
        <v>5.3249999999999999E-3</v>
      </c>
      <c r="F13">
        <f ca="1"/>
        <v>5.13</v>
      </c>
      <c r="G13">
        <f t="shared" ca="1" si="3"/>
        <v>5.050505050504972E-3</v>
      </c>
      <c r="H13">
        <f t="shared" ca="1" si="2"/>
        <v>2.7449494949502787E-4</v>
      </c>
      <c r="I13">
        <f ca="1"/>
        <v>2.8500000000000001E-2</v>
      </c>
      <c r="J13">
        <f ca="1"/>
        <v>20.56446</v>
      </c>
    </row>
    <row r="14" spans="1:10" x14ac:dyDescent="0.25">
      <c r="A14" t="str">
        <v>1971-01-31</v>
      </c>
      <c r="B14">
        <f t="shared" ca="1" si="0"/>
        <v>41.809061654135341</v>
      </c>
      <c r="C14">
        <f ca="1"/>
        <v>39.9</v>
      </c>
      <c r="D14">
        <f ca="1"/>
        <v>6.2399999999999997E-2</v>
      </c>
      <c r="E14">
        <f t="shared" ca="1" si="1"/>
        <v>5.1999999999999998E-3</v>
      </c>
      <c r="F14">
        <f ca="1"/>
        <v>5.16</v>
      </c>
      <c r="G14">
        <f t="shared" ca="1" si="3"/>
        <v>2.5125628140703071E-3</v>
      </c>
      <c r="H14">
        <f t="shared" ca="1" si="2"/>
        <v>2.6874371859296926E-3</v>
      </c>
      <c r="I14">
        <f ca="1"/>
        <v>2.7699999999999999E-2</v>
      </c>
      <c r="J14">
        <f ca="1"/>
        <v>20.49896</v>
      </c>
    </row>
    <row r="15" spans="1:10" x14ac:dyDescent="0.25">
      <c r="A15" t="str">
        <v>1971-02-28</v>
      </c>
      <c r="B15">
        <f t="shared" ca="1" si="0"/>
        <v>42.052137593984966</v>
      </c>
      <c r="C15">
        <f ca="1"/>
        <v>39.9</v>
      </c>
      <c r="D15">
        <f ca="1"/>
        <v>6.1100000000000002E-2</v>
      </c>
      <c r="E15">
        <f t="shared" ca="1" si="1"/>
        <v>5.0916666666666671E-3</v>
      </c>
      <c r="F15">
        <f ca="1"/>
        <v>5.19</v>
      </c>
      <c r="G15">
        <f t="shared" ca="1" si="3"/>
        <v>0</v>
      </c>
      <c r="H15">
        <f t="shared" ca="1" si="2"/>
        <v>5.0916666666666671E-3</v>
      </c>
      <c r="I15">
        <f ca="1"/>
        <v>2.7199999999999998E-2</v>
      </c>
      <c r="J15">
        <f ca="1"/>
        <v>20.382259999999999</v>
      </c>
    </row>
    <row r="16" spans="1:10" x14ac:dyDescent="0.25">
      <c r="A16" t="str">
        <v>1971-03-31</v>
      </c>
      <c r="B16">
        <f t="shared" ca="1" si="0"/>
        <v>42.1894755</v>
      </c>
      <c r="C16">
        <f ca="1"/>
        <v>40</v>
      </c>
      <c r="D16">
        <f ca="1"/>
        <v>5.7000000000000002E-2</v>
      </c>
      <c r="E16">
        <f t="shared" ca="1" si="1"/>
        <v>4.7499999999999999E-3</v>
      </c>
      <c r="F16">
        <f ca="1"/>
        <v>5.22</v>
      </c>
      <c r="G16">
        <f t="shared" ca="1" si="3"/>
        <v>2.5062656641603454E-3</v>
      </c>
      <c r="H16">
        <f t="shared" ca="1" si="2"/>
        <v>2.2437343358396545E-3</v>
      </c>
      <c r="I16">
        <f ca="1"/>
        <v>3.0300000000000001E-2</v>
      </c>
      <c r="J16">
        <f ca="1"/>
        <v>20.26614</v>
      </c>
    </row>
    <row r="17" spans="1:10" x14ac:dyDescent="0.25">
      <c r="A17" t="str">
        <v>1971-04-30</v>
      </c>
      <c r="B17">
        <f t="shared" ca="1" si="0"/>
        <v>42.352975287531173</v>
      </c>
      <c r="C17">
        <f ca="1"/>
        <v>40.1</v>
      </c>
      <c r="D17">
        <f ca="1"/>
        <v>5.8299999999999998E-2</v>
      </c>
      <c r="E17">
        <f t="shared" ca="1" si="1"/>
        <v>4.8583333333333334E-3</v>
      </c>
      <c r="F17">
        <f ca="1"/>
        <v>5.2533300000000001</v>
      </c>
      <c r="G17">
        <f t="shared" ca="1" si="3"/>
        <v>2.4999999999999467E-3</v>
      </c>
      <c r="H17">
        <f t="shared" ca="1" si="2"/>
        <v>2.3583333333333867E-3</v>
      </c>
      <c r="I17">
        <f ca="1"/>
        <v>2.76E-2</v>
      </c>
      <c r="J17">
        <f ca="1"/>
        <v>20.193960000000001</v>
      </c>
    </row>
    <row r="18" spans="1:10" x14ac:dyDescent="0.25">
      <c r="A18" t="str">
        <v>1971-05-31</v>
      </c>
      <c r="B18">
        <f t="shared" ca="1" si="0"/>
        <v>42.410243944665012</v>
      </c>
      <c r="C18">
        <f ca="1"/>
        <v>40.299999999999997</v>
      </c>
      <c r="D18">
        <f ca="1"/>
        <v>6.3899999999999998E-2</v>
      </c>
      <c r="E18">
        <f t="shared" ca="1" si="1"/>
        <v>5.3249999999999999E-3</v>
      </c>
      <c r="F18">
        <f ca="1"/>
        <v>5.28667</v>
      </c>
      <c r="G18">
        <f t="shared" ca="1" si="3"/>
        <v>4.9875311720697368E-3</v>
      </c>
      <c r="H18">
        <f t="shared" ca="1" si="2"/>
        <v>3.3746882793026303E-4</v>
      </c>
      <c r="I18">
        <f ca="1"/>
        <v>2.3699999999999999E-2</v>
      </c>
      <c r="J18">
        <f ca="1"/>
        <v>20.072130000000001</v>
      </c>
    </row>
    <row r="19" spans="1:10" x14ac:dyDescent="0.25">
      <c r="A19" t="str">
        <v>1971-06-30</v>
      </c>
      <c r="B19">
        <f t="shared" ca="1" si="0"/>
        <v>42.466867160493827</v>
      </c>
      <c r="C19">
        <f ca="1"/>
        <v>40.5</v>
      </c>
      <c r="D19">
        <f ca="1"/>
        <v>6.5199999999999994E-2</v>
      </c>
      <c r="E19">
        <f t="shared" ca="1" si="1"/>
        <v>5.4333333333333326E-3</v>
      </c>
      <c r="F19">
        <f ca="1"/>
        <v>5.32</v>
      </c>
      <c r="G19">
        <f t="shared" ca="1" si="3"/>
        <v>4.9627791563275903E-3</v>
      </c>
      <c r="H19">
        <f t="shared" ca="1" si="2"/>
        <v>4.7055417700574229E-4</v>
      </c>
      <c r="I19">
        <f ca="1"/>
        <v>2.47E-2</v>
      </c>
      <c r="J19">
        <f ca="1"/>
        <v>19.902439999999999</v>
      </c>
    </row>
    <row r="20" spans="1:10" x14ac:dyDescent="0.25">
      <c r="A20" t="str">
        <v>1971-07-31</v>
      </c>
      <c r="B20">
        <f t="shared" ca="1" si="0"/>
        <v>42.654266033743845</v>
      </c>
      <c r="C20">
        <f ca="1"/>
        <v>40.6</v>
      </c>
      <c r="D20">
        <f ca="1"/>
        <v>6.7299999999999999E-2</v>
      </c>
      <c r="E20">
        <f t="shared" ca="1" si="1"/>
        <v>5.6083333333333332E-3</v>
      </c>
      <c r="F20">
        <f ca="1"/>
        <v>5.3566700000000003</v>
      </c>
      <c r="G20">
        <f t="shared" ca="1" si="3"/>
        <v>2.4691358024691024E-3</v>
      </c>
      <c r="H20">
        <f t="shared" ca="1" si="2"/>
        <v>3.1391975308642309E-3</v>
      </c>
      <c r="I20">
        <f ca="1"/>
        <v>2.29E-2</v>
      </c>
      <c r="J20">
        <f ca="1"/>
        <v>19.83221</v>
      </c>
    </row>
    <row r="21" spans="1:10" x14ac:dyDescent="0.25">
      <c r="A21" t="str">
        <v>1971-08-31</v>
      </c>
      <c r="B21">
        <f t="shared" ca="1" si="0"/>
        <v>42.840664595331688</v>
      </c>
      <c r="C21">
        <f ca="1"/>
        <v>40.700000000000003</v>
      </c>
      <c r="D21">
        <f ca="1"/>
        <v>6.5799999999999997E-2</v>
      </c>
      <c r="E21">
        <f t="shared" ca="1" si="1"/>
        <v>5.4833333333333331E-3</v>
      </c>
      <c r="F21">
        <f ca="1"/>
        <v>5.3933299999999997</v>
      </c>
      <c r="G21">
        <f t="shared" ca="1" si="3"/>
        <v>2.4630541871921707E-3</v>
      </c>
      <c r="H21">
        <f t="shared" ca="1" si="2"/>
        <v>3.0202791461411624E-3</v>
      </c>
      <c r="I21">
        <f ca="1"/>
        <v>2.63E-2</v>
      </c>
      <c r="J21">
        <f ca="1"/>
        <v>19.762270000000001</v>
      </c>
    </row>
    <row r="22" spans="1:10" x14ac:dyDescent="0.25">
      <c r="A22" t="str">
        <v>1971-09-30</v>
      </c>
      <c r="B22">
        <f t="shared" ca="1" si="0"/>
        <v>43.026228676470588</v>
      </c>
      <c r="C22">
        <f ca="1"/>
        <v>40.799999999999997</v>
      </c>
      <c r="D22">
        <f ca="1"/>
        <v>6.1400000000000003E-2</v>
      </c>
      <c r="E22">
        <f t="shared" ca="1" si="1"/>
        <v>5.1166666666666669E-3</v>
      </c>
      <c r="F22">
        <f ca="1"/>
        <v>5.43</v>
      </c>
      <c r="G22">
        <f t="shared" ca="1" si="3"/>
        <v>2.4570024570023108E-3</v>
      </c>
      <c r="H22">
        <f t="shared" ca="1" si="2"/>
        <v>2.6596642096643561E-3</v>
      </c>
      <c r="I22">
        <f ca="1"/>
        <v>2.9100000000000001E-2</v>
      </c>
      <c r="J22">
        <f ca="1"/>
        <v>19.74099</v>
      </c>
    </row>
    <row r="23" spans="1:10" x14ac:dyDescent="0.25">
      <c r="A23" t="str">
        <v>1971-10-31</v>
      </c>
      <c r="B23">
        <f t="shared" ca="1" si="0"/>
        <v>43.632428361858189</v>
      </c>
      <c r="C23">
        <f ca="1"/>
        <v>40.9</v>
      </c>
      <c r="D23">
        <f ca="1"/>
        <v>5.9299999999999999E-2</v>
      </c>
      <c r="E23">
        <f t="shared" ca="1" si="1"/>
        <v>4.9416666666666663E-3</v>
      </c>
      <c r="F23">
        <f ca="1"/>
        <v>5.52</v>
      </c>
      <c r="G23">
        <f t="shared" ca="1" si="3"/>
        <v>2.450980392156854E-3</v>
      </c>
      <c r="H23">
        <f t="shared" ca="1" si="2"/>
        <v>2.4906862745098122E-3</v>
      </c>
      <c r="I23">
        <f ca="1"/>
        <v>3.3000000000000002E-2</v>
      </c>
      <c r="J23">
        <f ca="1"/>
        <v>19.650220000000001</v>
      </c>
    </row>
    <row r="24" spans="1:10" x14ac:dyDescent="0.25">
      <c r="A24" t="str">
        <v>1971-11-30</v>
      </c>
      <c r="B24">
        <f t="shared" ca="1" si="0"/>
        <v>44.235670975609757</v>
      </c>
      <c r="C24">
        <f ca="1"/>
        <v>41</v>
      </c>
      <c r="D24">
        <f ca="1"/>
        <v>5.8099999999999999E-2</v>
      </c>
      <c r="E24">
        <f t="shared" ca="1" si="1"/>
        <v>4.8416666666666669E-3</v>
      </c>
      <c r="F24">
        <f ca="1"/>
        <v>5.61</v>
      </c>
      <c r="G24">
        <f t="shared" ca="1" si="3"/>
        <v>2.4449877750611915E-3</v>
      </c>
      <c r="H24">
        <f t="shared" ca="1" si="2"/>
        <v>2.3966788916054754E-3</v>
      </c>
      <c r="I24">
        <f ca="1"/>
        <v>3.73E-2</v>
      </c>
      <c r="J24">
        <f ca="1"/>
        <v>19.607769999999999</v>
      </c>
    </row>
    <row r="25" spans="1:10" x14ac:dyDescent="0.25">
      <c r="A25" t="str">
        <v>1971-12-31</v>
      </c>
      <c r="B25">
        <f t="shared" ca="1" si="0"/>
        <v>44.835978102189785</v>
      </c>
      <c r="C25">
        <f ca="1"/>
        <v>41.1</v>
      </c>
      <c r="D25">
        <f ca="1"/>
        <v>5.9299999999999999E-2</v>
      </c>
      <c r="E25">
        <f t="shared" ca="1" si="1"/>
        <v>4.9416666666666663E-3</v>
      </c>
      <c r="F25">
        <f ca="1"/>
        <v>5.7</v>
      </c>
      <c r="G25">
        <f t="shared" ca="1" si="3"/>
        <v>2.4390243902439046E-3</v>
      </c>
      <c r="H25">
        <f t="shared" ca="1" si="2"/>
        <v>2.5026422764227617E-3</v>
      </c>
      <c r="I25">
        <f ca="1"/>
        <v>3.2899999999999999E-2</v>
      </c>
      <c r="J25">
        <f ca="1"/>
        <v>19.47006</v>
      </c>
    </row>
    <row r="26" spans="1:10" x14ac:dyDescent="0.25">
      <c r="A26" t="str">
        <v>1972-01-31</v>
      </c>
      <c r="B26">
        <f t="shared" ca="1" si="0"/>
        <v>45.014897596359219</v>
      </c>
      <c r="C26">
        <f ca="1"/>
        <v>41.2</v>
      </c>
      <c r="D26">
        <f ca="1"/>
        <v>5.9499999999999997E-2</v>
      </c>
      <c r="E26">
        <f t="shared" ca="1" si="1"/>
        <v>4.9583333333333328E-3</v>
      </c>
      <c r="F26">
        <f ca="1"/>
        <v>5.7366700000000002</v>
      </c>
      <c r="G26">
        <f t="shared" ca="1" si="3"/>
        <v>2.4330900243310083E-3</v>
      </c>
      <c r="H26">
        <f t="shared" ca="1" si="2"/>
        <v>2.5252433090023245E-3</v>
      </c>
      <c r="I26">
        <f ca="1"/>
        <v>3.04E-2</v>
      </c>
      <c r="J26">
        <f ca="1"/>
        <v>19.47006</v>
      </c>
    </row>
    <row r="27" spans="1:10" x14ac:dyDescent="0.25">
      <c r="A27" t="str">
        <v>1972-02-29</v>
      </c>
      <c r="B27">
        <f t="shared" ca="1" si="0"/>
        <v>45.083710846135268</v>
      </c>
      <c r="C27">
        <f ca="1"/>
        <v>41.4</v>
      </c>
      <c r="D27">
        <f ca="1"/>
        <v>6.08E-2</v>
      </c>
      <c r="E27">
        <f t="shared" ca="1" si="1"/>
        <v>5.0666666666666664E-3</v>
      </c>
      <c r="F27">
        <f ca="1"/>
        <v>5.7733299999999996</v>
      </c>
      <c r="G27">
        <f t="shared" ca="1" si="3"/>
        <v>4.8543689320388328E-3</v>
      </c>
      <c r="H27">
        <f t="shared" ca="1" si="2"/>
        <v>2.1229773462783357E-4</v>
      </c>
      <c r="I27">
        <f ca="1"/>
        <v>2.86E-2</v>
      </c>
      <c r="J27">
        <f ca="1"/>
        <v>19.375769999999999</v>
      </c>
    </row>
    <row r="28" spans="1:10" x14ac:dyDescent="0.25">
      <c r="A28" t="str">
        <v>1972-03-31</v>
      </c>
      <c r="B28">
        <f t="shared" ca="1" si="0"/>
        <v>45.370065458937198</v>
      </c>
      <c r="C28">
        <f ca="1"/>
        <v>41.4</v>
      </c>
      <c r="D28">
        <f ca="1"/>
        <v>6.0699999999999997E-2</v>
      </c>
      <c r="E28">
        <f t="shared" ca="1" si="1"/>
        <v>5.0583333333333331E-3</v>
      </c>
      <c r="F28">
        <f ca="1"/>
        <v>5.81</v>
      </c>
      <c r="G28">
        <f t="shared" ca="1" si="3"/>
        <v>0</v>
      </c>
      <c r="H28">
        <f t="shared" ca="1" si="2"/>
        <v>5.0583333333333331E-3</v>
      </c>
      <c r="I28">
        <f ca="1"/>
        <v>2.7900000000000001E-2</v>
      </c>
      <c r="J28">
        <f ca="1"/>
        <v>19.328970000000002</v>
      </c>
    </row>
    <row r="29" spans="1:10" x14ac:dyDescent="0.25">
      <c r="A29" t="str">
        <v>1972-04-30</v>
      </c>
      <c r="B29">
        <f t="shared" ca="1" si="0"/>
        <v>45.676188410361448</v>
      </c>
      <c r="C29">
        <f ca="1"/>
        <v>41.5</v>
      </c>
      <c r="D29">
        <f ca="1"/>
        <v>6.1899999999999997E-2</v>
      </c>
      <c r="E29">
        <f t="shared" ca="1" si="1"/>
        <v>5.1583333333333333E-3</v>
      </c>
      <c r="F29">
        <f ca="1"/>
        <v>5.8633300000000004</v>
      </c>
      <c r="G29">
        <f t="shared" ca="1" si="3"/>
        <v>2.4154589371980784E-3</v>
      </c>
      <c r="H29">
        <f t="shared" ca="1" si="2"/>
        <v>2.742874396135255E-3</v>
      </c>
      <c r="I29">
        <f ca="1"/>
        <v>2.6200000000000001E-2</v>
      </c>
      <c r="J29">
        <f ca="1"/>
        <v>19.282389999999999</v>
      </c>
    </row>
    <row r="30" spans="1:10" x14ac:dyDescent="0.25">
      <c r="A30" t="str">
        <v>1972-05-31</v>
      </c>
      <c r="B30">
        <f t="shared" ca="1" si="0"/>
        <v>45.980917331009607</v>
      </c>
      <c r="C30">
        <f ca="1"/>
        <v>41.6</v>
      </c>
      <c r="D30">
        <f ca="1"/>
        <v>6.13E-2</v>
      </c>
      <c r="E30">
        <f t="shared" ca="1" si="1"/>
        <v>5.1083333333333336E-3</v>
      </c>
      <c r="F30">
        <f ca="1"/>
        <v>5.9166699999999999</v>
      </c>
      <c r="G30">
        <f t="shared" ca="1" si="3"/>
        <v>2.4096385542169418E-3</v>
      </c>
      <c r="H30">
        <f t="shared" ca="1" si="2"/>
        <v>2.6986947791163918E-3</v>
      </c>
      <c r="I30">
        <f ca="1"/>
        <v>2.7900000000000001E-2</v>
      </c>
      <c r="J30">
        <f ca="1"/>
        <v>19.236039999999999</v>
      </c>
    </row>
    <row r="31" spans="1:10" x14ac:dyDescent="0.25">
      <c r="A31" t="str">
        <v>1972-06-30</v>
      </c>
      <c r="B31">
        <f t="shared" ca="1" si="0"/>
        <v>46.284107194244598</v>
      </c>
      <c r="C31">
        <f ca="1"/>
        <v>41.7</v>
      </c>
      <c r="D31">
        <f ca="1"/>
        <v>6.1100000000000002E-2</v>
      </c>
      <c r="E31">
        <f t="shared" ca="1" si="1"/>
        <v>5.0916666666666671E-3</v>
      </c>
      <c r="F31">
        <f ca="1"/>
        <v>5.97</v>
      </c>
      <c r="G31">
        <f t="shared" ca="1" si="3"/>
        <v>2.4038461538462563E-3</v>
      </c>
      <c r="H31">
        <f t="shared" ca="1" si="2"/>
        <v>2.6878205128204108E-3</v>
      </c>
      <c r="I31">
        <f ca="1"/>
        <v>2.8400000000000002E-2</v>
      </c>
      <c r="J31">
        <f ca="1"/>
        <v>19.189910000000001</v>
      </c>
    </row>
    <row r="32" spans="1:10" x14ac:dyDescent="0.25">
      <c r="A32" t="str">
        <v>1972-07-31</v>
      </c>
      <c r="B32">
        <f t="shared" ca="1" si="0"/>
        <v>46.611678731339715</v>
      </c>
      <c r="C32">
        <f ca="1"/>
        <v>41.8</v>
      </c>
      <c r="D32">
        <f ca="1"/>
        <v>6.1100000000000002E-2</v>
      </c>
      <c r="E32">
        <f t="shared" ca="1" si="1"/>
        <v>5.0916666666666671E-3</v>
      </c>
      <c r="F32">
        <f ca="1"/>
        <v>6.0266700000000002</v>
      </c>
      <c r="G32">
        <f t="shared" ca="1" si="3"/>
        <v>2.3980815347719453E-3</v>
      </c>
      <c r="H32">
        <f t="shared" ca="1" si="2"/>
        <v>2.6935851318947218E-3</v>
      </c>
      <c r="I32">
        <f ca="1"/>
        <v>2.93E-2</v>
      </c>
      <c r="J32">
        <f ca="1"/>
        <v>19.119029999999999</v>
      </c>
    </row>
    <row r="33" spans="1:10" x14ac:dyDescent="0.25">
      <c r="A33" t="str">
        <v>1972-08-31</v>
      </c>
      <c r="B33">
        <f t="shared" ca="1" si="0"/>
        <v>46.937609523389028</v>
      </c>
      <c r="C33">
        <f ca="1"/>
        <v>41.9</v>
      </c>
      <c r="D33">
        <f ca="1"/>
        <v>6.2100000000000002E-2</v>
      </c>
      <c r="E33">
        <f t="shared" ca="1" si="1"/>
        <v>5.1749999999999999E-3</v>
      </c>
      <c r="F33">
        <f ca="1"/>
        <v>6.0833300000000001</v>
      </c>
      <c r="G33">
        <f t="shared" ca="1" si="3"/>
        <v>2.3923444976077235E-3</v>
      </c>
      <c r="H33">
        <f t="shared" ca="1" si="2"/>
        <v>2.7826555023922764E-3</v>
      </c>
      <c r="I33">
        <f ca="1"/>
        <v>2.6800000000000001E-2</v>
      </c>
      <c r="J33">
        <f ca="1"/>
        <v>19.094239999999999</v>
      </c>
    </row>
    <row r="34" spans="1:10" x14ac:dyDescent="0.25">
      <c r="A34" t="str">
        <v>1972-09-30</v>
      </c>
      <c r="B34">
        <f t="shared" ca="1" si="0"/>
        <v>47.149803800475055</v>
      </c>
      <c r="C34">
        <f ca="1"/>
        <v>42.1</v>
      </c>
      <c r="D34">
        <f ca="1"/>
        <v>6.5500000000000003E-2</v>
      </c>
      <c r="E34">
        <f t="shared" ca="1" si="1"/>
        <v>5.4583333333333333E-3</v>
      </c>
      <c r="F34">
        <f ca="1"/>
        <v>6.14</v>
      </c>
      <c r="G34">
        <f t="shared" ca="1" si="3"/>
        <v>4.7732696897375693E-3</v>
      </c>
      <c r="H34">
        <f t="shared" ca="1" si="2"/>
        <v>6.85063643595764E-4</v>
      </c>
      <c r="I34">
        <f ca="1"/>
        <v>2.4400000000000002E-2</v>
      </c>
      <c r="J34">
        <f ca="1"/>
        <v>19.069500000000001</v>
      </c>
    </row>
    <row r="35" spans="1:10" x14ac:dyDescent="0.25">
      <c r="A35" t="str">
        <v>1972-10-31</v>
      </c>
      <c r="B35">
        <f t="shared" ca="1" si="0"/>
        <v>47.753068460426533</v>
      </c>
      <c r="C35">
        <f ca="1"/>
        <v>42.2</v>
      </c>
      <c r="D35">
        <f ca="1"/>
        <v>6.4799999999999996E-2</v>
      </c>
      <c r="E35">
        <f t="shared" ca="1" si="1"/>
        <v>5.3999999999999994E-3</v>
      </c>
      <c r="F35">
        <f ca="1"/>
        <v>6.2333299999999996</v>
      </c>
      <c r="G35">
        <f t="shared" ca="1" si="3"/>
        <v>2.3752969121140222E-3</v>
      </c>
      <c r="H35">
        <f t="shared" ca="1" si="2"/>
        <v>3.0247030878859773E-3</v>
      </c>
      <c r="I35">
        <f ca="1"/>
        <v>2.58E-2</v>
      </c>
      <c r="J35">
        <f ca="1"/>
        <v>19.123100000000001</v>
      </c>
    </row>
    <row r="36" spans="1:10" x14ac:dyDescent="0.25">
      <c r="A36" t="str">
        <v>1972-11-30</v>
      </c>
      <c r="B36">
        <f t="shared" ca="1" si="0"/>
        <v>48.239515824764155</v>
      </c>
      <c r="C36">
        <f ca="1"/>
        <v>42.4</v>
      </c>
      <c r="D36">
        <f ca="1"/>
        <v>6.2799999999999995E-2</v>
      </c>
      <c r="E36">
        <f t="shared" ca="1" si="1"/>
        <v>5.2333333333333329E-3</v>
      </c>
      <c r="F36">
        <f ca="1"/>
        <v>6.32667</v>
      </c>
      <c r="G36">
        <f t="shared" ca="1" si="3"/>
        <v>4.7393364928909332E-3</v>
      </c>
      <c r="H36">
        <f t="shared" ca="1" si="2"/>
        <v>4.9399684044239972E-4</v>
      </c>
      <c r="I36">
        <f ca="1"/>
        <v>2.5600000000000001E-2</v>
      </c>
      <c r="J36">
        <f ca="1"/>
        <v>19.22148</v>
      </c>
    </row>
    <row r="37" spans="1:10" x14ac:dyDescent="0.25">
      <c r="A37" t="str">
        <v>1972-12-31</v>
      </c>
      <c r="B37">
        <f t="shared" ca="1" si="0"/>
        <v>48.83595811764706</v>
      </c>
      <c r="C37">
        <f ca="1"/>
        <v>42.5</v>
      </c>
      <c r="D37">
        <f ca="1"/>
        <v>6.3600000000000004E-2</v>
      </c>
      <c r="E37">
        <f t="shared" ca="1" si="1"/>
        <v>5.3E-3</v>
      </c>
      <c r="F37">
        <f ca="1"/>
        <v>6.42</v>
      </c>
      <c r="G37">
        <f t="shared" ca="1" si="3"/>
        <v>2.3584905660378741E-3</v>
      </c>
      <c r="H37">
        <f t="shared" ca="1" si="2"/>
        <v>2.9415094339621259E-3</v>
      </c>
      <c r="I37">
        <f ca="1"/>
        <v>2.41E-2</v>
      </c>
      <c r="J37">
        <f ca="1"/>
        <v>19.31934</v>
      </c>
    </row>
    <row r="38" spans="1:10" x14ac:dyDescent="0.25">
      <c r="A38" t="str">
        <v>1973-01-31</v>
      </c>
      <c r="B38">
        <f t="shared" ca="1" si="0"/>
        <v>49.566264425526924</v>
      </c>
      <c r="C38">
        <f ca="1"/>
        <v>42.7</v>
      </c>
      <c r="D38">
        <f ca="1"/>
        <v>6.4600000000000005E-2</v>
      </c>
      <c r="E38">
        <f t="shared" ca="1" si="1"/>
        <v>5.3833333333333337E-3</v>
      </c>
      <c r="F38">
        <f ca="1"/>
        <v>6.5466699999999998</v>
      </c>
      <c r="G38">
        <f t="shared" ca="1" si="3"/>
        <v>4.7058823529413374E-3</v>
      </c>
      <c r="H38">
        <f t="shared" ca="1" si="2"/>
        <v>6.7745098039199633E-4</v>
      </c>
      <c r="I38">
        <f ca="1"/>
        <v>2.3199999999999998E-2</v>
      </c>
      <c r="J38">
        <f ca="1"/>
        <v>19.314800000000002</v>
      </c>
    </row>
    <row r="39" spans="1:10" x14ac:dyDescent="0.25">
      <c r="A39" t="str">
        <v>1973-02-28</v>
      </c>
      <c r="B39">
        <f t="shared" ca="1" si="0"/>
        <v>50.172733233255819</v>
      </c>
      <c r="C39">
        <f ca="1"/>
        <v>43</v>
      </c>
      <c r="D39">
        <f ca="1"/>
        <v>6.6400000000000001E-2</v>
      </c>
      <c r="E39">
        <f t="shared" ca="1" si="1"/>
        <v>5.5333333333333337E-3</v>
      </c>
      <c r="F39">
        <f ca="1"/>
        <v>6.67333</v>
      </c>
      <c r="G39">
        <f t="shared" ca="1" si="3"/>
        <v>7.0257611241217877E-3</v>
      </c>
      <c r="H39">
        <f t="shared" ca="1" si="2"/>
        <v>-1.492427790788454E-3</v>
      </c>
      <c r="I39">
        <f ca="1"/>
        <v>2.4500000000000001E-2</v>
      </c>
      <c r="J39">
        <f ca="1"/>
        <v>19.220199999999998</v>
      </c>
    </row>
    <row r="40" spans="1:10" x14ac:dyDescent="0.25">
      <c r="A40" t="str">
        <v>1973-03-31</v>
      </c>
      <c r="B40">
        <f t="shared" ca="1" si="0"/>
        <v>50.653889400921656</v>
      </c>
      <c r="C40">
        <f ca="1"/>
        <v>43.4</v>
      </c>
      <c r="D40">
        <f ca="1"/>
        <v>6.7100000000000007E-2</v>
      </c>
      <c r="E40">
        <f t="shared" ca="1" si="1"/>
        <v>5.5916666666666675E-3</v>
      </c>
      <c r="F40">
        <f ca="1"/>
        <v>6.8</v>
      </c>
      <c r="G40">
        <f t="shared" ca="1" si="3"/>
        <v>9.302325581395321E-3</v>
      </c>
      <c r="H40">
        <f t="shared" ca="1" si="2"/>
        <v>-3.7106589147286534E-3</v>
      </c>
      <c r="I40">
        <f ca="1"/>
        <v>2.5999999999999999E-2</v>
      </c>
      <c r="J40">
        <f ca="1"/>
        <v>19.082799999999999</v>
      </c>
    </row>
    <row r="41" spans="1:10" x14ac:dyDescent="0.25">
      <c r="A41" t="str">
        <v>1973-04-30</v>
      </c>
      <c r="B41">
        <f t="shared" ca="1" si="0"/>
        <v>51.366501121967957</v>
      </c>
      <c r="C41">
        <f ca="1"/>
        <v>43.7</v>
      </c>
      <c r="D41">
        <f ca="1"/>
        <v>6.6699999999999995E-2</v>
      </c>
      <c r="E41">
        <f t="shared" ca="1" si="1"/>
        <v>5.5583333333333327E-3</v>
      </c>
      <c r="F41">
        <f ca="1"/>
        <v>6.9433299999999996</v>
      </c>
      <c r="G41">
        <f t="shared" ca="1" si="3"/>
        <v>6.9124423963133896E-3</v>
      </c>
      <c r="H41">
        <f t="shared" ca="1" si="2"/>
        <v>-1.354109062980057E-3</v>
      </c>
      <c r="I41">
        <f ca="1"/>
        <v>2.87E-2</v>
      </c>
      <c r="J41">
        <f ca="1"/>
        <v>19.05115</v>
      </c>
    </row>
    <row r="42" spans="1:10" x14ac:dyDescent="0.25">
      <c r="A42" t="str">
        <v>1973-05-31</v>
      </c>
      <c r="B42">
        <f t="shared" ca="1" si="0"/>
        <v>52.188078154214118</v>
      </c>
      <c r="C42">
        <f ca="1"/>
        <v>43.9</v>
      </c>
      <c r="D42">
        <f ca="1"/>
        <v>6.8500000000000005E-2</v>
      </c>
      <c r="E42">
        <f t="shared" ca="1" si="1"/>
        <v>5.7083333333333335E-3</v>
      </c>
      <c r="F42">
        <f ca="1"/>
        <v>7.0866699999999998</v>
      </c>
      <c r="G42">
        <f t="shared" ca="1" si="3"/>
        <v>4.5766590389015871E-3</v>
      </c>
      <c r="H42">
        <f t="shared" ca="1" si="2"/>
        <v>1.1316742944317464E-3</v>
      </c>
      <c r="I42">
        <f ca="1"/>
        <v>2.9899999999999999E-2</v>
      </c>
      <c r="J42">
        <f ca="1"/>
        <v>19.019880000000001</v>
      </c>
    </row>
    <row r="43" spans="1:10" x14ac:dyDescent="0.25">
      <c r="A43" t="str">
        <v>1973-06-30</v>
      </c>
      <c r="B43">
        <f t="shared" ca="1" si="0"/>
        <v>52.882215610859731</v>
      </c>
      <c r="C43">
        <f ca="1"/>
        <v>44.2</v>
      </c>
      <c r="D43">
        <f ca="1"/>
        <v>6.9000000000000006E-2</v>
      </c>
      <c r="E43">
        <f t="shared" ca="1" si="1"/>
        <v>5.7500000000000008E-3</v>
      </c>
      <c r="F43">
        <f ca="1"/>
        <v>7.23</v>
      </c>
      <c r="G43">
        <f t="shared" ca="1" si="3"/>
        <v>6.8337129840547739E-3</v>
      </c>
      <c r="H43">
        <f t="shared" ca="1" si="2"/>
        <v>-1.0837129840547731E-3</v>
      </c>
      <c r="I43">
        <f ca="1"/>
        <v>3.1699999999999999E-2</v>
      </c>
      <c r="J43">
        <f ca="1"/>
        <v>18.989090000000001</v>
      </c>
    </row>
    <row r="44" spans="1:10" x14ac:dyDescent="0.25">
      <c r="A44" t="str">
        <v>1973-07-31</v>
      </c>
      <c r="B44">
        <f t="shared" ca="1" si="0"/>
        <v>54.003713552714927</v>
      </c>
      <c r="C44">
        <f ca="1"/>
        <v>44.2</v>
      </c>
      <c r="D44">
        <f ca="1"/>
        <v>7.1300000000000002E-2</v>
      </c>
      <c r="E44">
        <f t="shared" ca="1" si="1"/>
        <v>5.9416666666666671E-3</v>
      </c>
      <c r="F44">
        <f ca="1"/>
        <v>7.3833299999999999</v>
      </c>
      <c r="G44">
        <f t="shared" ca="1" si="3"/>
        <v>0</v>
      </c>
      <c r="H44">
        <f t="shared" ca="1" si="2"/>
        <v>5.9416666666666671E-3</v>
      </c>
      <c r="I44">
        <f ca="1"/>
        <v>2.9000000000000001E-2</v>
      </c>
      <c r="J44">
        <f ca="1"/>
        <v>19.044309999999999</v>
      </c>
    </row>
    <row r="45" spans="1:10" x14ac:dyDescent="0.25">
      <c r="A45" t="str">
        <v>1973-08-31</v>
      </c>
      <c r="B45">
        <f t="shared" ca="1" si="0"/>
        <v>54.145279577111111</v>
      </c>
      <c r="C45">
        <f ca="1"/>
        <v>45</v>
      </c>
      <c r="D45">
        <f ca="1"/>
        <v>7.3999999999999996E-2</v>
      </c>
      <c r="E45">
        <f t="shared" ca="1" si="1"/>
        <v>6.1666666666666667E-3</v>
      </c>
      <c r="F45">
        <f ca="1"/>
        <v>7.53667</v>
      </c>
      <c r="G45">
        <f t="shared" ca="1" si="3"/>
        <v>1.8099547511312153E-2</v>
      </c>
      <c r="H45">
        <f t="shared" ca="1" si="2"/>
        <v>-1.1932880844645485E-2</v>
      </c>
      <c r="I45">
        <f ca="1"/>
        <v>3.0700000000000002E-2</v>
      </c>
      <c r="J45">
        <f ca="1"/>
        <v>18.802790000000002</v>
      </c>
    </row>
    <row r="46" spans="1:10" x14ac:dyDescent="0.25">
      <c r="A46" t="str">
        <v>1973-09-30</v>
      </c>
      <c r="B46">
        <f t="shared" ca="1" si="0"/>
        <v>55.002384734513271</v>
      </c>
      <c r="C46">
        <f ca="1"/>
        <v>45.2</v>
      </c>
      <c r="D46">
        <f ca="1"/>
        <v>7.0900000000000005E-2</v>
      </c>
      <c r="E46">
        <f t="shared" ca="1" si="1"/>
        <v>5.908333333333334E-3</v>
      </c>
      <c r="F46">
        <f ca="1"/>
        <v>7.69</v>
      </c>
      <c r="G46">
        <f t="shared" ca="1" si="3"/>
        <v>4.4444444444444731E-3</v>
      </c>
      <c r="H46">
        <f t="shared" ca="1" si="2"/>
        <v>1.4638888888888609E-3</v>
      </c>
      <c r="I46">
        <f ca="1"/>
        <v>3.32E-2</v>
      </c>
      <c r="J46">
        <f ca="1"/>
        <v>18.857320000000001</v>
      </c>
    </row>
    <row r="47" spans="1:10" x14ac:dyDescent="0.25">
      <c r="A47" t="str">
        <v>1973-10-31</v>
      </c>
      <c r="B47">
        <f t="shared" ca="1" si="0"/>
        <v>55.630653310745608</v>
      </c>
      <c r="C47">
        <f ca="1"/>
        <v>45.6</v>
      </c>
      <c r="D47">
        <f ca="1"/>
        <v>6.7900000000000002E-2</v>
      </c>
      <c r="E47">
        <f t="shared" ca="1" si="1"/>
        <v>5.6583333333333338E-3</v>
      </c>
      <c r="F47">
        <f ca="1"/>
        <v>7.8466699999999996</v>
      </c>
      <c r="G47">
        <f t="shared" ca="1" si="3"/>
        <v>8.8495575221239076E-3</v>
      </c>
      <c r="H47">
        <f t="shared" ca="1" si="2"/>
        <v>-3.1912241887905738E-3</v>
      </c>
      <c r="I47">
        <f ca="1"/>
        <v>3.5000000000000003E-2</v>
      </c>
      <c r="J47">
        <f ca="1"/>
        <v>18.901520000000001</v>
      </c>
    </row>
    <row r="48" spans="1:10" x14ac:dyDescent="0.25">
      <c r="A48" t="str">
        <v>1973-11-30</v>
      </c>
      <c r="B48">
        <f t="shared" ca="1" si="0"/>
        <v>56.370469695642704</v>
      </c>
      <c r="C48">
        <f ca="1"/>
        <v>45.9</v>
      </c>
      <c r="D48">
        <f ca="1"/>
        <v>6.7299999999999999E-2</v>
      </c>
      <c r="E48">
        <f t="shared" ca="1" si="1"/>
        <v>5.6083333333333332E-3</v>
      </c>
      <c r="F48">
        <f ca="1"/>
        <v>8.0033300000000001</v>
      </c>
      <c r="G48">
        <f t="shared" ca="1" si="3"/>
        <v>6.5789473684210176E-3</v>
      </c>
      <c r="H48">
        <f t="shared" ca="1" si="2"/>
        <v>-9.7061403508768435E-4</v>
      </c>
      <c r="I48">
        <f ca="1"/>
        <v>4.1700000000000001E-2</v>
      </c>
      <c r="J48">
        <f ca="1"/>
        <v>18.986160000000002</v>
      </c>
    </row>
    <row r="49" spans="1:10" x14ac:dyDescent="0.25">
      <c r="A49" t="str">
        <v>1973-12-31</v>
      </c>
      <c r="B49">
        <f t="shared" ca="1" si="0"/>
        <v>56.977420302375812</v>
      </c>
      <c r="C49">
        <f ca="1"/>
        <v>46.3</v>
      </c>
      <c r="D49">
        <f ca="1"/>
        <v>6.7400000000000002E-2</v>
      </c>
      <c r="E49">
        <f t="shared" ca="1" si="1"/>
        <v>5.6166666666666665E-3</v>
      </c>
      <c r="F49">
        <f ca="1"/>
        <v>8.16</v>
      </c>
      <c r="G49">
        <f t="shared" ca="1" si="3"/>
        <v>8.7145969498909626E-3</v>
      </c>
      <c r="H49">
        <f t="shared" ca="1" si="2"/>
        <v>-3.0979302832242961E-3</v>
      </c>
      <c r="I49">
        <f ca="1"/>
        <v>4.7800000000000002E-2</v>
      </c>
      <c r="J49">
        <f ca="1"/>
        <v>19.069769999999998</v>
      </c>
    </row>
    <row r="50" spans="1:10" x14ac:dyDescent="0.25">
      <c r="A50" t="str">
        <v>1974-01-31</v>
      </c>
      <c r="B50">
        <f t="shared" ca="1" si="0"/>
        <v>56.829238695940177</v>
      </c>
      <c r="C50">
        <f ca="1"/>
        <v>46.8</v>
      </c>
      <c r="D50">
        <f ca="1"/>
        <v>6.9900000000000004E-2</v>
      </c>
      <c r="E50">
        <f t="shared" ca="1" si="1"/>
        <v>5.8250000000000003E-3</v>
      </c>
      <c r="F50">
        <f ca="1"/>
        <v>8.2266700000000004</v>
      </c>
      <c r="G50">
        <f t="shared" ca="1" si="3"/>
        <v>1.0799136069114423E-2</v>
      </c>
      <c r="H50">
        <f t="shared" ca="1" si="2"/>
        <v>-4.974136069114423E-3</v>
      </c>
      <c r="I50">
        <f ca="1"/>
        <v>4.5900000000000003E-2</v>
      </c>
      <c r="J50">
        <f ca="1"/>
        <v>19.017949999999999</v>
      </c>
    </row>
    <row r="51" spans="1:10" x14ac:dyDescent="0.25">
      <c r="A51" t="str">
        <v>1974-02-28</v>
      </c>
      <c r="B51">
        <f t="shared" ca="1" si="0"/>
        <v>56.684121543974626</v>
      </c>
      <c r="C51">
        <f ca="1"/>
        <v>47.3</v>
      </c>
      <c r="D51">
        <f ca="1"/>
        <v>6.9599999999999995E-2</v>
      </c>
      <c r="E51">
        <f t="shared" ca="1" si="1"/>
        <v>5.7999999999999996E-3</v>
      </c>
      <c r="F51">
        <f ca="1"/>
        <v>8.2933299999999992</v>
      </c>
      <c r="G51">
        <f t="shared" ca="1" si="3"/>
        <v>1.0683760683760646E-2</v>
      </c>
      <c r="H51">
        <f t="shared" ca="1" si="2"/>
        <v>-4.8837606837606462E-3</v>
      </c>
      <c r="I51">
        <f ca="1"/>
        <v>5.0900000000000001E-2</v>
      </c>
      <c r="J51">
        <f ca="1"/>
        <v>18.88664</v>
      </c>
    </row>
    <row r="52" spans="1:10" x14ac:dyDescent="0.25">
      <c r="A52" t="str">
        <v>1974-03-31</v>
      </c>
      <c r="B52">
        <f t="shared" ca="1" si="0"/>
        <v>56.542107949790797</v>
      </c>
      <c r="C52">
        <f ca="1"/>
        <v>47.8</v>
      </c>
      <c r="D52">
        <f ca="1"/>
        <v>7.2099999999999997E-2</v>
      </c>
      <c r="E52">
        <f t="shared" ca="1" si="1"/>
        <v>6.0083333333333334E-3</v>
      </c>
      <c r="F52">
        <f ca="1"/>
        <v>8.36</v>
      </c>
      <c r="G52">
        <f t="shared" ca="1" si="3"/>
        <v>1.0570824524312794E-2</v>
      </c>
      <c r="H52">
        <f t="shared" ca="1" si="2"/>
        <v>-4.5624911909794607E-3</v>
      </c>
      <c r="I52">
        <f ca="1"/>
        <v>4.7600000000000003E-2</v>
      </c>
      <c r="J52">
        <f ca="1"/>
        <v>18.75863</v>
      </c>
    </row>
    <row r="53" spans="1:10" x14ac:dyDescent="0.25">
      <c r="A53" t="str">
        <v>1974-04-30</v>
      </c>
      <c r="B53">
        <f t="shared" ca="1" si="0"/>
        <v>57.040832244698542</v>
      </c>
      <c r="C53">
        <f ca="1"/>
        <v>48.1</v>
      </c>
      <c r="D53">
        <f ca="1"/>
        <v>7.51E-2</v>
      </c>
      <c r="E53">
        <f t="shared" ca="1" si="1"/>
        <v>6.2583333333333336E-3</v>
      </c>
      <c r="F53">
        <f ca="1"/>
        <v>8.4866700000000002</v>
      </c>
      <c r="G53">
        <f t="shared" ca="1" si="3"/>
        <v>6.2761506276152179E-3</v>
      </c>
      <c r="H53">
        <f t="shared" ca="1" si="2"/>
        <v>-1.7817294281884284E-5</v>
      </c>
      <c r="I53">
        <f ca="1"/>
        <v>4.9599999999999998E-2</v>
      </c>
      <c r="J53">
        <f ca="1"/>
        <v>18.789079999999998</v>
      </c>
    </row>
    <row r="54" spans="1:10" x14ac:dyDescent="0.25">
      <c r="A54" t="str">
        <v>1974-05-31</v>
      </c>
      <c r="B54">
        <f t="shared" ca="1" si="0"/>
        <v>57.296544630246913</v>
      </c>
      <c r="C54">
        <f ca="1"/>
        <v>48.6</v>
      </c>
      <c r="D54">
        <f ca="1"/>
        <v>7.5800000000000006E-2</v>
      </c>
      <c r="E54">
        <f t="shared" ca="1" si="1"/>
        <v>6.3166666666666675E-3</v>
      </c>
      <c r="F54">
        <f ca="1"/>
        <v>8.6133299999999995</v>
      </c>
      <c r="G54">
        <f t="shared" ca="1" si="3"/>
        <v>1.039501039501034E-2</v>
      </c>
      <c r="H54">
        <f t="shared" ca="1" si="2"/>
        <v>-4.0783437283436726E-3</v>
      </c>
      <c r="I54">
        <f ca="1"/>
        <v>5.3900000000000003E-2</v>
      </c>
      <c r="J54">
        <f ca="1"/>
        <v>18.664380000000001</v>
      </c>
    </row>
    <row r="55" spans="1:10" x14ac:dyDescent="0.25">
      <c r="A55" t="str">
        <v>1974-06-30</v>
      </c>
      <c r="B55">
        <f t="shared" ca="1" si="0"/>
        <v>57.664557959183675</v>
      </c>
      <c r="C55">
        <f ca="1"/>
        <v>49</v>
      </c>
      <c r="D55">
        <f ca="1"/>
        <v>7.5399999999999995E-2</v>
      </c>
      <c r="E55">
        <f t="shared" ca="1" si="1"/>
        <v>6.2833333333333326E-3</v>
      </c>
      <c r="F55">
        <f ca="1"/>
        <v>8.74</v>
      </c>
      <c r="G55">
        <f t="shared" ca="1" si="3"/>
        <v>8.2304526748970819E-3</v>
      </c>
      <c r="H55">
        <f t="shared" ca="1" si="2"/>
        <v>-1.9471193415637493E-3</v>
      </c>
      <c r="I55">
        <f ca="1"/>
        <v>5.5599999999999997E-2</v>
      </c>
      <c r="J55">
        <f ca="1"/>
        <v>18.618410000000001</v>
      </c>
    </row>
    <row r="56" spans="1:10" x14ac:dyDescent="0.25">
      <c r="A56" t="str">
        <v>1974-07-31</v>
      </c>
      <c r="B56">
        <f t="shared" ca="1" si="0"/>
        <v>58.122410122312374</v>
      </c>
      <c r="C56">
        <f ca="1"/>
        <v>49.3</v>
      </c>
      <c r="D56">
        <f ca="1"/>
        <v>7.8100000000000003E-2</v>
      </c>
      <c r="E56">
        <f t="shared" ca="1" si="1"/>
        <v>6.5083333333333339E-3</v>
      </c>
      <c r="F56">
        <f ca="1"/>
        <v>8.8633299999999995</v>
      </c>
      <c r="G56">
        <f t="shared" ca="1" si="3"/>
        <v>6.1224489795916881E-3</v>
      </c>
      <c r="H56">
        <f t="shared" ca="1" si="2"/>
        <v>3.8588435374164575E-4</v>
      </c>
      <c r="I56">
        <f ca="1"/>
        <v>6.5500000000000003E-2</v>
      </c>
      <c r="J56">
        <f ca="1"/>
        <v>18.62595</v>
      </c>
    </row>
    <row r="57" spans="1:10" x14ac:dyDescent="0.25">
      <c r="A57" t="str">
        <v>1974-08-31</v>
      </c>
      <c r="B57">
        <f t="shared" ca="1" si="0"/>
        <v>58.222635891182371</v>
      </c>
      <c r="C57">
        <f ca="1"/>
        <v>49.9</v>
      </c>
      <c r="D57">
        <f ca="1"/>
        <v>8.0399999999999999E-2</v>
      </c>
      <c r="E57">
        <f t="shared" ca="1" si="1"/>
        <v>6.7000000000000002E-3</v>
      </c>
      <c r="F57">
        <f ca="1"/>
        <v>8.9866700000000002</v>
      </c>
      <c r="G57">
        <f t="shared" ca="1" si="3"/>
        <v>1.2170385395537497E-2</v>
      </c>
      <c r="H57">
        <f t="shared" ca="1" si="2"/>
        <v>-5.4703853955374972E-3</v>
      </c>
      <c r="I57">
        <f ca="1"/>
        <v>7.0400000000000004E-2</v>
      </c>
      <c r="J57">
        <f ca="1"/>
        <v>18.55883</v>
      </c>
    </row>
    <row r="58" spans="1:10" x14ac:dyDescent="0.25">
      <c r="A58" t="str">
        <v>1974-09-30</v>
      </c>
      <c r="B58">
        <f t="shared" ca="1" si="0"/>
        <v>58.205158300395254</v>
      </c>
      <c r="C58">
        <f ca="1"/>
        <v>50.6</v>
      </c>
      <c r="D58">
        <f ca="1"/>
        <v>8.0399999999999999E-2</v>
      </c>
      <c r="E58">
        <f t="shared" ca="1" si="1"/>
        <v>6.7000000000000002E-3</v>
      </c>
      <c r="F58">
        <f ca="1"/>
        <v>9.11</v>
      </c>
      <c r="G58">
        <f t="shared" ca="1" si="3"/>
        <v>1.4028056112224574E-2</v>
      </c>
      <c r="H58">
        <f t="shared" ca="1" si="2"/>
        <v>-7.3280561122245737E-3</v>
      </c>
      <c r="I58">
        <f ca="1"/>
        <v>8.4699999999999998E-2</v>
      </c>
      <c r="J58">
        <f ca="1"/>
        <v>18.493310000000001</v>
      </c>
    </row>
    <row r="59" spans="1:10" x14ac:dyDescent="0.25">
      <c r="A59" t="str">
        <v>1974-10-31</v>
      </c>
      <c r="B59">
        <f t="shared" ca="1" si="0"/>
        <v>57.283805509215689</v>
      </c>
      <c r="C59">
        <f ca="1"/>
        <v>51</v>
      </c>
      <c r="D59">
        <f ca="1"/>
        <v>7.9000000000000001E-2</v>
      </c>
      <c r="E59">
        <f t="shared" ca="1" si="1"/>
        <v>6.5833333333333334E-3</v>
      </c>
      <c r="F59">
        <f ca="1"/>
        <v>9.0366700000000009</v>
      </c>
      <c r="G59">
        <f t="shared" ca="1" si="3"/>
        <v>7.905138339920903E-3</v>
      </c>
      <c r="H59">
        <f t="shared" ca="1" si="2"/>
        <v>-1.3218050065875696E-3</v>
      </c>
      <c r="I59">
        <f ca="1"/>
        <v>8.6300000000000002E-2</v>
      </c>
      <c r="J59">
        <f ca="1"/>
        <v>18.329339999999998</v>
      </c>
    </row>
    <row r="60" spans="1:10" x14ac:dyDescent="0.25">
      <c r="A60" t="str">
        <v>1974-11-30</v>
      </c>
      <c r="B60">
        <f t="shared" ca="1" si="0"/>
        <v>56.267260563689312</v>
      </c>
      <c r="C60">
        <f ca="1"/>
        <v>51.5</v>
      </c>
      <c r="D60">
        <f ca="1"/>
        <v>7.6799999999999993E-2</v>
      </c>
      <c r="E60">
        <f t="shared" ca="1" si="1"/>
        <v>6.3999999999999994E-3</v>
      </c>
      <c r="F60">
        <f ca="1"/>
        <v>8.9633299999999991</v>
      </c>
      <c r="G60">
        <f t="shared" ca="1" si="3"/>
        <v>9.8039215686274161E-3</v>
      </c>
      <c r="H60">
        <f t="shared" ca="1" si="2"/>
        <v>-3.4039215686274167E-3</v>
      </c>
      <c r="I60">
        <f ca="1"/>
        <v>8.6300000000000002E-2</v>
      </c>
      <c r="J60">
        <f ca="1"/>
        <v>18.203880000000002</v>
      </c>
    </row>
    <row r="61" spans="1:10" x14ac:dyDescent="0.25">
      <c r="A61" t="str">
        <v>1974-12-31</v>
      </c>
      <c r="B61">
        <f t="shared" ca="1" si="0"/>
        <v>55.376820616570328</v>
      </c>
      <c r="C61">
        <f ca="1"/>
        <v>51.9</v>
      </c>
      <c r="D61">
        <f ca="1"/>
        <v>7.4300000000000005E-2</v>
      </c>
      <c r="E61">
        <f t="shared" ca="1" si="1"/>
        <v>6.1916666666666674E-3</v>
      </c>
      <c r="F61">
        <f ca="1"/>
        <v>8.89</v>
      </c>
      <c r="G61">
        <f t="shared" ca="1" si="3"/>
        <v>7.7669902912620437E-3</v>
      </c>
      <c r="H61">
        <f t="shared" ca="1" si="2"/>
        <v>-1.5753236245953763E-3</v>
      </c>
      <c r="I61">
        <f ca="1"/>
        <v>9.8500000000000004E-2</v>
      </c>
      <c r="J61">
        <f ca="1"/>
        <v>18.080310000000001</v>
      </c>
    </row>
    <row r="62" spans="1:10" x14ac:dyDescent="0.25">
      <c r="A62" t="str">
        <v>1975-01-31</v>
      </c>
      <c r="B62">
        <f t="shared" ca="1" si="0"/>
        <v>54.046651989101342</v>
      </c>
      <c r="C62">
        <f ca="1"/>
        <v>52.3</v>
      </c>
      <c r="D62">
        <f ca="1"/>
        <v>7.4999999999999997E-2</v>
      </c>
      <c r="E62">
        <f t="shared" ca="1" si="1"/>
        <v>6.2499999999999995E-3</v>
      </c>
      <c r="F62">
        <f ca="1"/>
        <v>8.7433300000000003</v>
      </c>
      <c r="G62">
        <f t="shared" ca="1" si="3"/>
        <v>7.7071290944124016E-3</v>
      </c>
      <c r="H62">
        <f t="shared" ca="1" si="2"/>
        <v>-1.4571290944124021E-3</v>
      </c>
      <c r="I62">
        <f ca="1"/>
        <v>8.9700000000000002E-2</v>
      </c>
      <c r="J62">
        <f ca="1"/>
        <v>18.12762</v>
      </c>
    </row>
    <row r="63" spans="1:10" x14ac:dyDescent="0.25">
      <c r="A63" t="str">
        <v>1975-02-28</v>
      </c>
      <c r="B63">
        <f t="shared" ca="1" si="0"/>
        <v>52.836996976615964</v>
      </c>
      <c r="C63">
        <f ca="1"/>
        <v>52.6</v>
      </c>
      <c r="D63">
        <f ca="1"/>
        <v>7.3899999999999993E-2</v>
      </c>
      <c r="E63">
        <f t="shared" ca="1" si="1"/>
        <v>6.1583333333333325E-3</v>
      </c>
      <c r="F63">
        <f ca="1"/>
        <v>8.5966699999999996</v>
      </c>
      <c r="G63">
        <f t="shared" ca="1" si="3"/>
        <v>5.7361376673041864E-3</v>
      </c>
      <c r="H63">
        <f t="shared" ca="1" si="2"/>
        <v>4.2219566602914611E-4</v>
      </c>
      <c r="I63">
        <f ca="1"/>
        <v>8.2000000000000003E-2</v>
      </c>
      <c r="J63">
        <f ca="1"/>
        <v>18.10539</v>
      </c>
    </row>
    <row r="64" spans="1:10" x14ac:dyDescent="0.25">
      <c r="A64" t="str">
        <v>1975-03-31</v>
      </c>
      <c r="B64">
        <f t="shared" ca="1" si="0"/>
        <v>51.738805871212115</v>
      </c>
      <c r="C64">
        <f ca="1"/>
        <v>52.8</v>
      </c>
      <c r="D64">
        <f ca="1"/>
        <v>7.7299999999999994E-2</v>
      </c>
      <c r="E64">
        <f t="shared" ca="1" si="1"/>
        <v>6.4416666666666659E-3</v>
      </c>
      <c r="F64">
        <f ca="1"/>
        <v>8.4499999999999993</v>
      </c>
      <c r="G64">
        <f t="shared" ca="1" si="3"/>
        <v>3.8022813688212143E-3</v>
      </c>
      <c r="H64">
        <f t="shared" ca="1" si="2"/>
        <v>2.6393852978454516E-3</v>
      </c>
      <c r="I64">
        <f ca="1"/>
        <v>7.46E-2</v>
      </c>
      <c r="J64">
        <f ca="1"/>
        <v>18.152069999999998</v>
      </c>
    </row>
    <row r="65" spans="1:10" x14ac:dyDescent="0.25">
      <c r="A65" t="str">
        <v>1975-04-30</v>
      </c>
      <c r="B65">
        <f t="shared" ca="1" si="0"/>
        <v>50.547279829622646</v>
      </c>
      <c r="C65">
        <f ca="1"/>
        <v>53</v>
      </c>
      <c r="D65">
        <f ca="1"/>
        <v>8.2299999999999998E-2</v>
      </c>
      <c r="E65">
        <f t="shared" ca="1" si="1"/>
        <v>6.8583333333333335E-3</v>
      </c>
      <c r="F65">
        <f ca="1"/>
        <v>8.2866700000000009</v>
      </c>
      <c r="G65">
        <f t="shared" ca="1" si="3"/>
        <v>3.7878787878788955E-3</v>
      </c>
      <c r="H65">
        <f t="shared" ca="1" si="2"/>
        <v>3.0704545454544379E-3</v>
      </c>
      <c r="I65">
        <f ca="1"/>
        <v>6.9000000000000006E-2</v>
      </c>
      <c r="J65">
        <f ca="1"/>
        <v>18.14912</v>
      </c>
    </row>
    <row r="66" spans="1:10" x14ac:dyDescent="0.25">
      <c r="A66" t="str">
        <v>1975-05-31</v>
      </c>
      <c r="B66">
        <f t="shared" ref="B66:B129" ca="1" si="4">F66*$C$669/C66</f>
        <v>49.457617307532949</v>
      </c>
      <c r="C66">
        <f ca="1"/>
        <v>53.1</v>
      </c>
      <c r="D66">
        <f ca="1"/>
        <v>8.0600000000000005E-2</v>
      </c>
      <c r="E66">
        <f t="shared" ca="1" si="1"/>
        <v>6.7166666666666668E-3</v>
      </c>
      <c r="F66">
        <f ca="1"/>
        <v>8.1233299999999993</v>
      </c>
      <c r="G66">
        <f t="shared" ca="1" si="3"/>
        <v>1.8867924528302993E-3</v>
      </c>
      <c r="H66">
        <f t="shared" ca="1" si="2"/>
        <v>4.8298742138363675E-3</v>
      </c>
      <c r="I66">
        <f ca="1"/>
        <v>6.6000000000000003E-2</v>
      </c>
      <c r="J66">
        <f ca="1"/>
        <v>18.11214</v>
      </c>
    </row>
    <row r="67" spans="1:10" x14ac:dyDescent="0.25">
      <c r="A67" t="str">
        <v>1975-06-30</v>
      </c>
      <c r="B67">
        <f t="shared" ca="1" si="4"/>
        <v>48.100866542056082</v>
      </c>
      <c r="C67">
        <f ca="1"/>
        <v>53.5</v>
      </c>
      <c r="D67">
        <f ca="1"/>
        <v>7.8600000000000003E-2</v>
      </c>
      <c r="E67">
        <f t="shared" ref="E67:E130" ca="1" si="5">D67/12</f>
        <v>6.5500000000000003E-3</v>
      </c>
      <c r="F67">
        <f ca="1"/>
        <v>7.96</v>
      </c>
      <c r="G67">
        <f t="shared" ca="1" si="3"/>
        <v>7.532956685499137E-3</v>
      </c>
      <c r="H67">
        <f t="shared" ref="H67:H130" ca="1" si="6">E67-G67</f>
        <v>-9.8295668549913673E-4</v>
      </c>
      <c r="I67">
        <f ca="1"/>
        <v>6.6500000000000004E-2</v>
      </c>
      <c r="J67">
        <f ca="1"/>
        <v>18.041799999999999</v>
      </c>
    </row>
    <row r="68" spans="1:10" x14ac:dyDescent="0.25">
      <c r="A68" t="str">
        <v>1975-07-31</v>
      </c>
      <c r="B68">
        <f t="shared" ca="1" si="4"/>
        <v>47.256343500555559</v>
      </c>
      <c r="C68">
        <f ca="1"/>
        <v>54</v>
      </c>
      <c r="D68">
        <f ca="1"/>
        <v>8.0600000000000005E-2</v>
      </c>
      <c r="E68">
        <f t="shared" ca="1" si="5"/>
        <v>6.7166666666666668E-3</v>
      </c>
      <c r="F68">
        <f ca="1"/>
        <v>7.8933299999999997</v>
      </c>
      <c r="G68">
        <f t="shared" ref="G68:G131" ca="1" si="7">C68/C67-1</f>
        <v>9.3457943925232545E-3</v>
      </c>
      <c r="H68">
        <f t="shared" ca="1" si="6"/>
        <v>-2.6291277258565877E-3</v>
      </c>
      <c r="I68">
        <f ca="1"/>
        <v>6.6600000000000006E-2</v>
      </c>
      <c r="J68">
        <f ca="1"/>
        <v>17.84207</v>
      </c>
    </row>
    <row r="69" spans="1:10" x14ac:dyDescent="0.25">
      <c r="A69" t="str">
        <v>1975-08-31</v>
      </c>
      <c r="B69">
        <f t="shared" ca="1" si="4"/>
        <v>46.684353707933575</v>
      </c>
      <c r="C69">
        <f ca="1"/>
        <v>54.2</v>
      </c>
      <c r="D69">
        <f ca="1"/>
        <v>8.4000000000000005E-2</v>
      </c>
      <c r="E69">
        <f t="shared" ca="1" si="5"/>
        <v>7.0000000000000001E-3</v>
      </c>
      <c r="F69">
        <f ca="1"/>
        <v>7.82667</v>
      </c>
      <c r="G69">
        <f t="shared" ca="1" si="7"/>
        <v>3.7037037037037646E-3</v>
      </c>
      <c r="H69">
        <f t="shared" ca="1" si="6"/>
        <v>3.2962962962962356E-3</v>
      </c>
      <c r="I69">
        <f ca="1"/>
        <v>7.0699999999999999E-2</v>
      </c>
      <c r="J69">
        <f ca="1"/>
        <v>17.80921</v>
      </c>
    </row>
    <row r="70" spans="1:10" x14ac:dyDescent="0.25">
      <c r="A70" t="str">
        <v>1975-09-30</v>
      </c>
      <c r="B70">
        <f t="shared" ca="1" si="4"/>
        <v>45.947585347985346</v>
      </c>
      <c r="C70">
        <f ca="1"/>
        <v>54.6</v>
      </c>
      <c r="D70">
        <f ca="1"/>
        <v>8.43E-2</v>
      </c>
      <c r="E70">
        <f t="shared" ca="1" si="5"/>
        <v>7.025E-3</v>
      </c>
      <c r="F70">
        <f ca="1"/>
        <v>7.76</v>
      </c>
      <c r="G70">
        <f t="shared" ca="1" si="7"/>
        <v>7.3800738007379074E-3</v>
      </c>
      <c r="H70">
        <f t="shared" ca="1" si="6"/>
        <v>-3.5507380073790742E-4</v>
      </c>
      <c r="I70">
        <f ca="1"/>
        <v>7.2700000000000001E-2</v>
      </c>
      <c r="J70">
        <f ca="1"/>
        <v>17.711359999999999</v>
      </c>
    </row>
    <row r="71" spans="1:10" x14ac:dyDescent="0.25">
      <c r="A71" t="str">
        <v>1975-10-31</v>
      </c>
      <c r="B71">
        <f t="shared" ca="1" si="4"/>
        <v>46.089106939344262</v>
      </c>
      <c r="C71">
        <f ca="1"/>
        <v>54.9</v>
      </c>
      <c r="D71">
        <f ca="1"/>
        <v>8.14E-2</v>
      </c>
      <c r="E71">
        <f t="shared" ca="1" si="5"/>
        <v>6.7833333333333331E-3</v>
      </c>
      <c r="F71">
        <f ca="1"/>
        <v>7.82667</v>
      </c>
      <c r="G71">
        <f t="shared" ca="1" si="7"/>
        <v>5.494505494505475E-3</v>
      </c>
      <c r="H71">
        <f t="shared" ca="1" si="6"/>
        <v>1.2888278388278581E-3</v>
      </c>
      <c r="I71">
        <f ca="1"/>
        <v>7.1900000000000006E-2</v>
      </c>
      <c r="J71">
        <f ca="1"/>
        <v>17.5671</v>
      </c>
    </row>
    <row r="72" spans="1:10" x14ac:dyDescent="0.25">
      <c r="A72" t="str">
        <v>1975-11-30</v>
      </c>
      <c r="B72">
        <f t="shared" ca="1" si="4"/>
        <v>46.145434883001812</v>
      </c>
      <c r="C72">
        <f ca="1"/>
        <v>55.3</v>
      </c>
      <c r="D72">
        <f ca="1"/>
        <v>8.0500000000000002E-2</v>
      </c>
      <c r="E72">
        <f t="shared" ca="1" si="5"/>
        <v>6.7083333333333335E-3</v>
      </c>
      <c r="F72">
        <f ca="1"/>
        <v>7.8933299999999997</v>
      </c>
      <c r="G72">
        <f t="shared" ca="1" si="7"/>
        <v>7.2859744990891873E-3</v>
      </c>
      <c r="H72">
        <f t="shared" ca="1" si="6"/>
        <v>-5.7764116575585375E-4</v>
      </c>
      <c r="I72">
        <f ca="1"/>
        <v>7.2499999999999995E-2</v>
      </c>
      <c r="J72">
        <f ca="1"/>
        <v>17.392900000000001</v>
      </c>
    </row>
    <row r="73" spans="1:10" x14ac:dyDescent="0.25">
      <c r="A73" t="str">
        <v>1975-12-31</v>
      </c>
      <c r="B73">
        <f t="shared" ca="1" si="4"/>
        <v>46.284107194244605</v>
      </c>
      <c r="C73">
        <f ca="1"/>
        <v>55.6</v>
      </c>
      <c r="D73">
        <f ca="1"/>
        <v>0.08</v>
      </c>
      <c r="E73">
        <f t="shared" ca="1" si="5"/>
        <v>6.6666666666666671E-3</v>
      </c>
      <c r="F73">
        <f ca="1"/>
        <v>7.96</v>
      </c>
      <c r="G73">
        <f t="shared" ca="1" si="7"/>
        <v>5.4249547920435237E-3</v>
      </c>
      <c r="H73">
        <f t="shared" ca="1" si="6"/>
        <v>1.2417118746231434E-3</v>
      </c>
      <c r="I73">
        <f ca="1"/>
        <v>7.4800000000000005E-2</v>
      </c>
      <c r="J73">
        <f ca="1"/>
        <v>17.283249999999999</v>
      </c>
    </row>
    <row r="74" spans="1:10" x14ac:dyDescent="0.25">
      <c r="A74" t="str">
        <v>1976-01-31</v>
      </c>
      <c r="B74">
        <f t="shared" ca="1" si="4"/>
        <v>47.470068979032256</v>
      </c>
      <c r="C74">
        <f ca="1"/>
        <v>55.8</v>
      </c>
      <c r="D74">
        <f ca="1"/>
        <v>7.7399999999999997E-2</v>
      </c>
      <c r="E74">
        <f t="shared" ca="1" si="5"/>
        <v>6.45E-3</v>
      </c>
      <c r="F74">
        <f ca="1"/>
        <v>8.1933299999999996</v>
      </c>
      <c r="G74">
        <f t="shared" ca="1" si="7"/>
        <v>3.597122302158251E-3</v>
      </c>
      <c r="H74">
        <f t="shared" ca="1" si="6"/>
        <v>2.852877697841749E-3</v>
      </c>
      <c r="I74">
        <f ca="1"/>
        <v>6.9500000000000006E-2</v>
      </c>
      <c r="J74">
        <f ca="1"/>
        <v>17.267779999999998</v>
      </c>
    </row>
    <row r="75" spans="1:10" x14ac:dyDescent="0.25">
      <c r="A75" t="str">
        <v>1976-02-29</v>
      </c>
      <c r="B75">
        <f t="shared" ca="1" si="4"/>
        <v>48.73464348783542</v>
      </c>
      <c r="C75">
        <f ca="1"/>
        <v>55.9</v>
      </c>
      <c r="D75">
        <f ca="1"/>
        <v>7.7899999999999997E-2</v>
      </c>
      <c r="E75">
        <f t="shared" ca="1" si="5"/>
        <v>6.4916666666666664E-3</v>
      </c>
      <c r="F75">
        <f ca="1"/>
        <v>8.4266699999999997</v>
      </c>
      <c r="G75">
        <f t="shared" ca="1" si="7"/>
        <v>1.7921146953405742E-3</v>
      </c>
      <c r="H75">
        <f t="shared" ca="1" si="6"/>
        <v>4.6995519713260922E-3</v>
      </c>
      <c r="I75">
        <f ca="1"/>
        <v>6.5600000000000006E-2</v>
      </c>
      <c r="J75">
        <f ca="1"/>
        <v>17.221489999999999</v>
      </c>
    </row>
    <row r="76" spans="1:10" x14ac:dyDescent="0.25">
      <c r="A76" t="str">
        <v>1976-03-31</v>
      </c>
      <c r="B76">
        <f t="shared" ca="1" si="4"/>
        <v>49.994643928571428</v>
      </c>
      <c r="C76">
        <f ca="1"/>
        <v>56</v>
      </c>
      <c r="D76">
        <f ca="1"/>
        <v>7.7299999999999994E-2</v>
      </c>
      <c r="E76">
        <f t="shared" ca="1" si="5"/>
        <v>6.4416666666666659E-3</v>
      </c>
      <c r="F76">
        <f ca="1"/>
        <v>8.66</v>
      </c>
      <c r="G76">
        <f t="shared" ca="1" si="7"/>
        <v>1.7889087656530744E-3</v>
      </c>
      <c r="H76">
        <f t="shared" ca="1" si="6"/>
        <v>4.6527579010135914E-3</v>
      </c>
      <c r="I76">
        <f ca="1"/>
        <v>6.5699999999999995E-2</v>
      </c>
      <c r="J76">
        <f ca="1"/>
        <v>17.206209999999999</v>
      </c>
    </row>
    <row r="77" spans="1:10" x14ac:dyDescent="0.25">
      <c r="A77" t="str">
        <v>1976-04-30</v>
      </c>
      <c r="B77">
        <f t="shared" ca="1" si="4"/>
        <v>51.038889500356504</v>
      </c>
      <c r="C77">
        <f ca="1"/>
        <v>56.1</v>
      </c>
      <c r="D77">
        <f ca="1"/>
        <v>7.5600000000000001E-2</v>
      </c>
      <c r="E77">
        <f t="shared" ca="1" si="5"/>
        <v>6.3E-3</v>
      </c>
      <c r="F77">
        <f ca="1"/>
        <v>8.8566699999999994</v>
      </c>
      <c r="G77">
        <f t="shared" ca="1" si="7"/>
        <v>1.7857142857142794E-3</v>
      </c>
      <c r="H77">
        <f t="shared" ca="1" si="6"/>
        <v>4.5142857142857207E-3</v>
      </c>
      <c r="I77">
        <f ca="1"/>
        <v>6.6699999999999995E-2</v>
      </c>
      <c r="J77">
        <f ca="1"/>
        <v>17.253270000000001</v>
      </c>
    </row>
    <row r="78" spans="1:10" x14ac:dyDescent="0.25">
      <c r="A78" t="str">
        <v>1976-05-31</v>
      </c>
      <c r="B78">
        <f t="shared" ca="1" si="4"/>
        <v>51.894682784219867</v>
      </c>
      <c r="C78">
        <f ca="1"/>
        <v>56.4</v>
      </c>
      <c r="D78">
        <f ca="1"/>
        <v>7.9000000000000001E-2</v>
      </c>
      <c r="E78">
        <f t="shared" ca="1" si="5"/>
        <v>6.5833333333333334E-3</v>
      </c>
      <c r="F78">
        <f ca="1"/>
        <v>9.0533300000000008</v>
      </c>
      <c r="G78">
        <f t="shared" ca="1" si="7"/>
        <v>5.3475935828877219E-3</v>
      </c>
      <c r="H78">
        <f t="shared" ca="1" si="6"/>
        <v>1.2357397504456115E-3</v>
      </c>
      <c r="I78">
        <f ca="1"/>
        <v>6.5199999999999994E-2</v>
      </c>
      <c r="J78">
        <f ca="1"/>
        <v>17.238800000000001</v>
      </c>
    </row>
    <row r="79" spans="1:10" x14ac:dyDescent="0.25">
      <c r="A79" t="str">
        <v>1976-06-30</v>
      </c>
      <c r="B79">
        <f t="shared" ca="1" si="4"/>
        <v>52.741477072310403</v>
      </c>
      <c r="C79">
        <f ca="1"/>
        <v>56.7</v>
      </c>
      <c r="D79">
        <f ca="1"/>
        <v>7.8600000000000003E-2</v>
      </c>
      <c r="E79">
        <f t="shared" ca="1" si="5"/>
        <v>6.5500000000000003E-3</v>
      </c>
      <c r="F79">
        <f ca="1"/>
        <v>9.25</v>
      </c>
      <c r="G79">
        <f t="shared" ca="1" si="7"/>
        <v>5.3191489361703592E-3</v>
      </c>
      <c r="H79">
        <f t="shared" ca="1" si="6"/>
        <v>1.230851063829641E-3</v>
      </c>
      <c r="I79">
        <f ca="1"/>
        <v>6.5799999999999997E-2</v>
      </c>
      <c r="J79">
        <f ca="1"/>
        <v>17.254809999999999</v>
      </c>
    </row>
    <row r="80" spans="1:10" x14ac:dyDescent="0.25">
      <c r="A80" t="str">
        <v>1976-07-31</v>
      </c>
      <c r="B80">
        <f t="shared" ca="1" si="4"/>
        <v>53.031067543859649</v>
      </c>
      <c r="C80">
        <f ca="1"/>
        <v>57</v>
      </c>
      <c r="D80">
        <f ca="1"/>
        <v>7.8299999999999995E-2</v>
      </c>
      <c r="E80">
        <f t="shared" ca="1" si="5"/>
        <v>6.5249999999999996E-3</v>
      </c>
      <c r="F80">
        <f ca="1"/>
        <v>9.35</v>
      </c>
      <c r="G80">
        <f t="shared" ca="1" si="7"/>
        <v>5.2910052910053462E-3</v>
      </c>
      <c r="H80">
        <f t="shared" ca="1" si="6"/>
        <v>1.2339947089946533E-3</v>
      </c>
      <c r="I80">
        <f ca="1"/>
        <v>6.4699999999999994E-2</v>
      </c>
      <c r="J80">
        <f ca="1"/>
        <v>17.301100000000002</v>
      </c>
    </row>
    <row r="81" spans="1:10" x14ac:dyDescent="0.25">
      <c r="A81" t="str">
        <v>1976-08-31</v>
      </c>
      <c r="B81">
        <f t="shared" ca="1" si="4"/>
        <v>53.317625654450261</v>
      </c>
      <c r="C81">
        <f ca="1"/>
        <v>57.3</v>
      </c>
      <c r="D81">
        <f ca="1"/>
        <v>7.7700000000000005E-2</v>
      </c>
      <c r="E81">
        <f t="shared" ca="1" si="5"/>
        <v>6.4750000000000007E-3</v>
      </c>
      <c r="F81">
        <f ca="1"/>
        <v>9.4499999999999993</v>
      </c>
      <c r="G81">
        <f t="shared" ca="1" si="7"/>
        <v>5.2631578947368585E-3</v>
      </c>
      <c r="H81">
        <f t="shared" ca="1" si="6"/>
        <v>1.2118421052631423E-3</v>
      </c>
      <c r="I81">
        <f ca="1"/>
        <v>6.6400000000000001E-2</v>
      </c>
      <c r="J81">
        <f ca="1"/>
        <v>17.346910000000001</v>
      </c>
    </row>
    <row r="82" spans="1:10" x14ac:dyDescent="0.25">
      <c r="A82" t="str">
        <v>1976-09-30</v>
      </c>
      <c r="B82">
        <f t="shared" ca="1" si="4"/>
        <v>53.601198784722222</v>
      </c>
      <c r="C82">
        <f ca="1"/>
        <v>57.6</v>
      </c>
      <c r="D82">
        <f ca="1"/>
        <v>7.5899999999999995E-2</v>
      </c>
      <c r="E82">
        <f t="shared" ca="1" si="5"/>
        <v>6.3249999999999999E-3</v>
      </c>
      <c r="F82">
        <f ca="1"/>
        <v>9.5500000000000007</v>
      </c>
      <c r="G82">
        <f t="shared" ca="1" si="7"/>
        <v>5.2356020942410098E-3</v>
      </c>
      <c r="H82">
        <f t="shared" ca="1" si="6"/>
        <v>1.0893979057589901E-3</v>
      </c>
      <c r="I82">
        <f ca="1"/>
        <v>6.7100000000000007E-2</v>
      </c>
      <c r="J82">
        <f ca="1"/>
        <v>17.422440000000002</v>
      </c>
    </row>
    <row r="83" spans="1:10" x14ac:dyDescent="0.25">
      <c r="A83" t="str">
        <v>1976-10-31</v>
      </c>
      <c r="B83">
        <f t="shared" ca="1" si="4"/>
        <v>53.993505526770292</v>
      </c>
      <c r="C83">
        <f ca="1"/>
        <v>57.9</v>
      </c>
      <c r="D83">
        <f ca="1"/>
        <v>7.4099999999999999E-2</v>
      </c>
      <c r="E83">
        <f t="shared" ca="1" si="5"/>
        <v>6.1749999999999999E-3</v>
      </c>
      <c r="F83">
        <f ca="1"/>
        <v>9.67</v>
      </c>
      <c r="G83">
        <f t="shared" ca="1" si="7"/>
        <v>5.2083333333332593E-3</v>
      </c>
      <c r="H83">
        <f t="shared" ca="1" si="6"/>
        <v>9.6666666666674061E-4</v>
      </c>
      <c r="I83">
        <f ca="1"/>
        <v>7.22E-2</v>
      </c>
      <c r="J83">
        <f ca="1"/>
        <v>17.632300000000001</v>
      </c>
    </row>
    <row r="84" spans="1:10" x14ac:dyDescent="0.25">
      <c r="A84" t="str">
        <v>1976-11-30</v>
      </c>
      <c r="B84">
        <f t="shared" ca="1" si="4"/>
        <v>54.475368158347671</v>
      </c>
      <c r="C84">
        <f ca="1"/>
        <v>58.1</v>
      </c>
      <c r="D84">
        <f ca="1"/>
        <v>7.2900000000000006E-2</v>
      </c>
      <c r="E84">
        <f t="shared" ca="1" si="5"/>
        <v>6.0750000000000005E-3</v>
      </c>
      <c r="F84">
        <f ca="1"/>
        <v>9.7899999999999991</v>
      </c>
      <c r="G84">
        <f t="shared" ca="1" si="7"/>
        <v>3.4542314335059832E-3</v>
      </c>
      <c r="H84">
        <f t="shared" ca="1" si="6"/>
        <v>2.6207685664940174E-3</v>
      </c>
      <c r="I84">
        <f ca="1"/>
        <v>7.4300000000000005E-2</v>
      </c>
      <c r="J84">
        <f ca="1"/>
        <v>17.901479999999999</v>
      </c>
    </row>
    <row r="85" spans="1:10" x14ac:dyDescent="0.25">
      <c r="A85" t="str">
        <v>1976-12-31</v>
      </c>
      <c r="B85">
        <f t="shared" ca="1" si="4"/>
        <v>54.859825513698631</v>
      </c>
      <c r="C85">
        <f ca="1"/>
        <v>58.4</v>
      </c>
      <c r="D85">
        <f ca="1"/>
        <v>6.8699999999999997E-2</v>
      </c>
      <c r="E85">
        <f t="shared" ca="1" si="5"/>
        <v>5.7250000000000001E-3</v>
      </c>
      <c r="F85">
        <f ca="1"/>
        <v>9.91</v>
      </c>
      <c r="G85">
        <f t="shared" ca="1" si="7"/>
        <v>5.1635111876076056E-3</v>
      </c>
      <c r="H85">
        <f t="shared" ca="1" si="6"/>
        <v>5.6148881239239442E-4</v>
      </c>
      <c r="I85">
        <f ca="1"/>
        <v>7.6200000000000004E-2</v>
      </c>
      <c r="J85">
        <f ca="1"/>
        <v>18.138549999999999</v>
      </c>
    </row>
    <row r="86" spans="1:10" x14ac:dyDescent="0.25">
      <c r="A86" t="str">
        <v>1977-01-31</v>
      </c>
      <c r="B86">
        <f t="shared" ca="1" si="4"/>
        <v>54.891562367461667</v>
      </c>
      <c r="C86">
        <f ca="1"/>
        <v>58.7</v>
      </c>
      <c r="D86">
        <f ca="1"/>
        <v>7.2099999999999997E-2</v>
      </c>
      <c r="E86">
        <f t="shared" ca="1" si="5"/>
        <v>6.0083333333333334E-3</v>
      </c>
      <c r="F86">
        <f ca="1"/>
        <v>9.9666700000000006</v>
      </c>
      <c r="G86">
        <f t="shared" ca="1" si="7"/>
        <v>5.1369863013699391E-3</v>
      </c>
      <c r="H86">
        <f t="shared" ca="1" si="6"/>
        <v>8.7134703196339435E-4</v>
      </c>
      <c r="I86">
        <f ca="1"/>
        <v>7.46E-2</v>
      </c>
      <c r="J86">
        <f ca="1"/>
        <v>18.25348</v>
      </c>
    </row>
    <row r="87" spans="1:10" x14ac:dyDescent="0.25">
      <c r="A87" t="str">
        <v>1977-02-28</v>
      </c>
      <c r="B87">
        <f t="shared" ca="1" si="4"/>
        <v>54.644901860033734</v>
      </c>
      <c r="C87">
        <f ca="1"/>
        <v>59.3</v>
      </c>
      <c r="D87">
        <f ca="1"/>
        <v>7.3899999999999993E-2</v>
      </c>
      <c r="E87">
        <f t="shared" ca="1" si="5"/>
        <v>6.1583333333333325E-3</v>
      </c>
      <c r="F87">
        <f ca="1"/>
        <v>10.023300000000001</v>
      </c>
      <c r="G87">
        <f t="shared" ca="1" si="7"/>
        <v>1.0221465076660996E-2</v>
      </c>
      <c r="H87">
        <f t="shared" ca="1" si="6"/>
        <v>-4.0631317433276635E-3</v>
      </c>
      <c r="I87">
        <f ca="1"/>
        <v>7.7200000000000005E-2</v>
      </c>
      <c r="J87">
        <f ca="1"/>
        <v>18.273959999999999</v>
      </c>
    </row>
    <row r="88" spans="1:10" x14ac:dyDescent="0.25">
      <c r="A88" t="str">
        <v>1977-03-31</v>
      </c>
      <c r="B88">
        <f t="shared" ca="1" si="4"/>
        <v>54.677404026845636</v>
      </c>
      <c r="C88">
        <f ca="1"/>
        <v>59.6</v>
      </c>
      <c r="D88">
        <f ca="1"/>
        <v>7.46E-2</v>
      </c>
      <c r="E88">
        <f t="shared" ca="1" si="5"/>
        <v>6.2166666666666663E-3</v>
      </c>
      <c r="F88">
        <f ca="1"/>
        <v>10.08</v>
      </c>
      <c r="G88">
        <f t="shared" ca="1" si="7"/>
        <v>5.0590219224284638E-3</v>
      </c>
      <c r="H88">
        <f t="shared" ca="1" si="6"/>
        <v>1.1576447442382025E-3</v>
      </c>
      <c r="I88">
        <f ca="1"/>
        <v>7.7899999999999997E-2</v>
      </c>
      <c r="J88">
        <f ca="1"/>
        <v>18.355560000000001</v>
      </c>
    </row>
    <row r="89" spans="1:10" x14ac:dyDescent="0.25">
      <c r="A89" t="str">
        <v>1977-04-30</v>
      </c>
      <c r="B89">
        <f t="shared" ca="1" si="4"/>
        <v>54.923369171666671</v>
      </c>
      <c r="C89">
        <f ca="1"/>
        <v>60</v>
      </c>
      <c r="D89">
        <f ca="1"/>
        <v>7.3700000000000002E-2</v>
      </c>
      <c r="E89">
        <f t="shared" ca="1" si="5"/>
        <v>6.1416666666666668E-3</v>
      </c>
      <c r="F89">
        <f ca="1"/>
        <v>10.193300000000001</v>
      </c>
      <c r="G89">
        <f t="shared" ca="1" si="7"/>
        <v>6.7114093959730337E-3</v>
      </c>
      <c r="H89">
        <f t="shared" ca="1" si="6"/>
        <v>-5.6974272930636685E-4</v>
      </c>
      <c r="I89">
        <f ca="1"/>
        <v>8.1600000000000006E-2</v>
      </c>
      <c r="J89">
        <f ca="1"/>
        <v>18.448789999999999</v>
      </c>
    </row>
    <row r="90" spans="1:10" x14ac:dyDescent="0.25">
      <c r="A90" t="str">
        <v>1977-05-31</v>
      </c>
      <c r="B90">
        <f t="shared" ca="1" si="4"/>
        <v>55.349889529900331</v>
      </c>
      <c r="C90">
        <f ca="1"/>
        <v>60.2</v>
      </c>
      <c r="D90">
        <f ca="1"/>
        <v>7.46E-2</v>
      </c>
      <c r="E90">
        <f t="shared" ca="1" si="5"/>
        <v>6.2166666666666663E-3</v>
      </c>
      <c r="F90">
        <f ca="1"/>
        <v>10.306699999999999</v>
      </c>
      <c r="G90">
        <f t="shared" ca="1" si="7"/>
        <v>3.3333333333334103E-3</v>
      </c>
      <c r="H90">
        <f t="shared" ca="1" si="6"/>
        <v>2.883333333333256E-3</v>
      </c>
      <c r="I90">
        <f ca="1"/>
        <v>8.1699999999999995E-2</v>
      </c>
      <c r="J90">
        <f ca="1"/>
        <v>18.601929999999999</v>
      </c>
    </row>
    <row r="91" spans="1:10" x14ac:dyDescent="0.25">
      <c r="A91" t="str">
        <v>1977-06-30</v>
      </c>
      <c r="B91">
        <f t="shared" ca="1" si="4"/>
        <v>55.680863140495866</v>
      </c>
      <c r="C91">
        <f ca="1"/>
        <v>60.5</v>
      </c>
      <c r="D91">
        <f ca="1"/>
        <v>7.2800000000000004E-2</v>
      </c>
      <c r="E91">
        <f t="shared" ca="1" si="5"/>
        <v>6.0666666666666673E-3</v>
      </c>
      <c r="F91">
        <f ca="1"/>
        <v>10.42</v>
      </c>
      <c r="G91">
        <f t="shared" ca="1" si="7"/>
        <v>4.983388704318914E-3</v>
      </c>
      <c r="H91">
        <f t="shared" ca="1" si="6"/>
        <v>1.0832779623477532E-3</v>
      </c>
      <c r="I91">
        <f ca="1"/>
        <v>8.4000000000000005E-2</v>
      </c>
      <c r="J91">
        <f ca="1"/>
        <v>18.7227</v>
      </c>
    </row>
    <row r="92" spans="1:10" x14ac:dyDescent="0.25">
      <c r="A92" t="str">
        <v>1977-07-31</v>
      </c>
      <c r="B92">
        <f t="shared" ca="1" si="4"/>
        <v>55.920303613486844</v>
      </c>
      <c r="C92">
        <f ca="1"/>
        <v>60.8</v>
      </c>
      <c r="D92">
        <f ca="1"/>
        <v>7.3300000000000004E-2</v>
      </c>
      <c r="E92">
        <f t="shared" ca="1" si="5"/>
        <v>6.1083333333333337E-3</v>
      </c>
      <c r="F92">
        <f ca="1"/>
        <v>10.5167</v>
      </c>
      <c r="G92">
        <f t="shared" ca="1" si="7"/>
        <v>4.9586776859502635E-3</v>
      </c>
      <c r="H92">
        <f t="shared" ca="1" si="6"/>
        <v>1.1496556473830702E-3</v>
      </c>
      <c r="I92">
        <f ca="1"/>
        <v>8.3400000000000002E-2</v>
      </c>
      <c r="J92">
        <f ca="1"/>
        <v>18.83004</v>
      </c>
    </row>
    <row r="93" spans="1:10" x14ac:dyDescent="0.25">
      <c r="A93" t="str">
        <v>1977-08-31</v>
      </c>
      <c r="B93">
        <f t="shared" ca="1" si="4"/>
        <v>56.156863671031097</v>
      </c>
      <c r="C93">
        <f ca="1"/>
        <v>61.1</v>
      </c>
      <c r="D93">
        <f ca="1"/>
        <v>7.3999999999999996E-2</v>
      </c>
      <c r="E93">
        <f t="shared" ca="1" si="5"/>
        <v>6.1666666666666667E-3</v>
      </c>
      <c r="F93">
        <f ca="1"/>
        <v>10.613300000000001</v>
      </c>
      <c r="G93">
        <f t="shared" ca="1" si="7"/>
        <v>4.9342105263159297E-3</v>
      </c>
      <c r="H93">
        <f t="shared" ca="1" si="6"/>
        <v>1.2324561403507369E-3</v>
      </c>
      <c r="I93">
        <f ca="1"/>
        <v>8.5500000000000007E-2</v>
      </c>
      <c r="J93">
        <f ca="1"/>
        <v>18.96724</v>
      </c>
    </row>
    <row r="94" spans="1:10" x14ac:dyDescent="0.25">
      <c r="A94" t="str">
        <v>1977-09-30</v>
      </c>
      <c r="B94">
        <f t="shared" ca="1" si="4"/>
        <v>56.483631484502453</v>
      </c>
      <c r="C94">
        <f ca="1"/>
        <v>61.3</v>
      </c>
      <c r="D94">
        <f ca="1"/>
        <v>7.3400000000000007E-2</v>
      </c>
      <c r="E94">
        <f t="shared" ca="1" si="5"/>
        <v>6.116666666666667E-3</v>
      </c>
      <c r="F94">
        <f ca="1"/>
        <v>10.71</v>
      </c>
      <c r="G94">
        <f t="shared" ca="1" si="7"/>
        <v>3.2733224222585289E-3</v>
      </c>
      <c r="H94">
        <f t="shared" ca="1" si="6"/>
        <v>2.8433442444081381E-3</v>
      </c>
      <c r="I94">
        <f ca="1"/>
        <v>8.8099999999999998E-2</v>
      </c>
      <c r="J94">
        <f ca="1"/>
        <v>19.103580000000001</v>
      </c>
    </row>
    <row r="95" spans="1:10" x14ac:dyDescent="0.25">
      <c r="A95" t="str">
        <v>1977-10-31</v>
      </c>
      <c r="B95">
        <f t="shared" ca="1" si="4"/>
        <v>56.52344269480519</v>
      </c>
      <c r="C95">
        <f ca="1"/>
        <v>61.6</v>
      </c>
      <c r="D95">
        <f ca="1"/>
        <v>7.5200000000000003E-2</v>
      </c>
      <c r="E95">
        <f t="shared" ca="1" si="5"/>
        <v>6.2666666666666669E-3</v>
      </c>
      <c r="F95">
        <f ca="1"/>
        <v>10.77</v>
      </c>
      <c r="G95">
        <f t="shared" ca="1" si="7"/>
        <v>4.8939641109300158E-3</v>
      </c>
      <c r="H95">
        <f t="shared" ca="1" si="6"/>
        <v>1.3727025557366511E-3</v>
      </c>
      <c r="I95">
        <f ca="1"/>
        <v>8.9399999999999993E-2</v>
      </c>
      <c r="J95">
        <f ca="1"/>
        <v>19.28135</v>
      </c>
    </row>
    <row r="96" spans="1:10" x14ac:dyDescent="0.25">
      <c r="A96" t="str">
        <v>1977-11-30</v>
      </c>
      <c r="B96">
        <f t="shared" ca="1" si="4"/>
        <v>56.471637580645158</v>
      </c>
      <c r="C96">
        <f ca="1"/>
        <v>62</v>
      </c>
      <c r="D96">
        <f ca="1"/>
        <v>7.5800000000000006E-2</v>
      </c>
      <c r="E96">
        <f t="shared" ca="1" si="5"/>
        <v>6.3166666666666675E-3</v>
      </c>
      <c r="F96">
        <f ca="1"/>
        <v>10.83</v>
      </c>
      <c r="G96">
        <f t="shared" ca="1" si="7"/>
        <v>6.4935064935065512E-3</v>
      </c>
      <c r="H96">
        <f t="shared" ca="1" si="6"/>
        <v>-1.768398268398837E-4</v>
      </c>
      <c r="I96">
        <f ca="1"/>
        <v>8.8999999999999996E-2</v>
      </c>
      <c r="J96">
        <f ca="1"/>
        <v>19.426500000000001</v>
      </c>
    </row>
    <row r="97" spans="1:10" x14ac:dyDescent="0.25">
      <c r="A97" t="str">
        <v>1977-12-31</v>
      </c>
      <c r="B97">
        <f t="shared" ca="1" si="4"/>
        <v>56.511059229534517</v>
      </c>
      <c r="C97">
        <f ca="1"/>
        <v>62.3</v>
      </c>
      <c r="D97">
        <f ca="1"/>
        <v>7.6899999999999996E-2</v>
      </c>
      <c r="E97">
        <f t="shared" ca="1" si="5"/>
        <v>6.4083333333333327E-3</v>
      </c>
      <c r="F97">
        <f ca="1"/>
        <v>10.89</v>
      </c>
      <c r="G97">
        <f t="shared" ca="1" si="7"/>
        <v>4.8387096774193949E-3</v>
      </c>
      <c r="H97">
        <f t="shared" ca="1" si="6"/>
        <v>1.5696236559139378E-3</v>
      </c>
      <c r="I97">
        <f ca="1"/>
        <v>8.8800000000000004E-2</v>
      </c>
      <c r="J97">
        <f ca="1"/>
        <v>19.601800000000001</v>
      </c>
    </row>
    <row r="98" spans="1:10" x14ac:dyDescent="0.25">
      <c r="A98" t="str">
        <v>1978-01-31</v>
      </c>
      <c r="B98">
        <f t="shared" ca="1" si="4"/>
        <v>56.202103668261564</v>
      </c>
      <c r="C98">
        <f ca="1"/>
        <v>62.7</v>
      </c>
      <c r="D98">
        <f ca="1"/>
        <v>7.9600000000000004E-2</v>
      </c>
      <c r="E98">
        <f t="shared" ca="1" si="5"/>
        <v>6.633333333333334E-3</v>
      </c>
      <c r="F98">
        <f ca="1"/>
        <v>10.9</v>
      </c>
      <c r="G98">
        <f t="shared" ca="1" si="7"/>
        <v>6.4205457463886173E-3</v>
      </c>
      <c r="H98">
        <f t="shared" ca="1" si="6"/>
        <v>2.1278758694471666E-4</v>
      </c>
      <c r="I98">
        <f ca="1"/>
        <v>9.11E-2</v>
      </c>
      <c r="J98">
        <f ca="1"/>
        <v>19.657060000000001</v>
      </c>
    </row>
    <row r="99" spans="1:10" x14ac:dyDescent="0.25">
      <c r="A99" t="str">
        <v>1978-02-28</v>
      </c>
      <c r="B99">
        <f t="shared" ca="1" si="4"/>
        <v>55.985790634920633</v>
      </c>
      <c r="C99">
        <f ca="1"/>
        <v>63</v>
      </c>
      <c r="D99">
        <f ca="1"/>
        <v>8.0299999999999996E-2</v>
      </c>
      <c r="E99">
        <f t="shared" ca="1" si="5"/>
        <v>6.6916666666666661E-3</v>
      </c>
      <c r="F99">
        <f ca="1"/>
        <v>10.91</v>
      </c>
      <c r="G99">
        <f t="shared" ca="1" si="7"/>
        <v>4.7846889952152249E-3</v>
      </c>
      <c r="H99">
        <f t="shared" ca="1" si="6"/>
        <v>1.9069776714514411E-3</v>
      </c>
      <c r="I99">
        <f ca="1"/>
        <v>9.3100000000000002E-2</v>
      </c>
      <c r="J99">
        <f ca="1"/>
        <v>19.711649999999999</v>
      </c>
    </row>
    <row r="100" spans="1:10" x14ac:dyDescent="0.25">
      <c r="A100" t="str">
        <v>1978-03-31</v>
      </c>
      <c r="B100">
        <f t="shared" ca="1" si="4"/>
        <v>55.683560252365929</v>
      </c>
      <c r="C100">
        <f ca="1"/>
        <v>63.4</v>
      </c>
      <c r="D100">
        <f ca="1"/>
        <v>8.0399999999999999E-2</v>
      </c>
      <c r="E100">
        <f t="shared" ca="1" si="5"/>
        <v>6.7000000000000002E-3</v>
      </c>
      <c r="F100">
        <f ca="1"/>
        <v>10.92</v>
      </c>
      <c r="G100">
        <f t="shared" ca="1" si="7"/>
        <v>6.3492063492063266E-3</v>
      </c>
      <c r="H100">
        <f t="shared" ca="1" si="6"/>
        <v>3.5079365079367358E-4</v>
      </c>
      <c r="I100">
        <f ca="1"/>
        <v>9.4700000000000006E-2</v>
      </c>
      <c r="J100">
        <f ca="1"/>
        <v>19.73434</v>
      </c>
    </row>
    <row r="101" spans="1:10" x14ac:dyDescent="0.25">
      <c r="A101" t="str">
        <v>1978-04-30</v>
      </c>
      <c r="B101">
        <f t="shared" ca="1" si="4"/>
        <v>55.770480129890458</v>
      </c>
      <c r="C101">
        <f ca="1"/>
        <v>63.9</v>
      </c>
      <c r="D101">
        <f ca="1"/>
        <v>8.1500000000000003E-2</v>
      </c>
      <c r="E101">
        <f t="shared" ca="1" si="5"/>
        <v>6.7916666666666672E-3</v>
      </c>
      <c r="F101">
        <f ca="1"/>
        <v>11.023300000000001</v>
      </c>
      <c r="G101">
        <f t="shared" ca="1" si="7"/>
        <v>7.8864353312302349E-3</v>
      </c>
      <c r="H101">
        <f t="shared" ca="1" si="6"/>
        <v>-1.0947686645635677E-3</v>
      </c>
      <c r="I101">
        <f ca="1"/>
        <v>9.0300000000000005E-2</v>
      </c>
      <c r="J101">
        <f ca="1"/>
        <v>19.729510000000001</v>
      </c>
    </row>
    <row r="102" spans="1:10" x14ac:dyDescent="0.25">
      <c r="A102" t="str">
        <v>1978-05-31</v>
      </c>
      <c r="B102">
        <f t="shared" ca="1" si="4"/>
        <v>55.769953018604646</v>
      </c>
      <c r="C102">
        <f ca="1"/>
        <v>64.5</v>
      </c>
      <c r="D102">
        <f ca="1"/>
        <v>8.3500000000000005E-2</v>
      </c>
      <c r="E102">
        <f t="shared" ca="1" si="5"/>
        <v>6.9583333333333337E-3</v>
      </c>
      <c r="F102">
        <f ca="1"/>
        <v>11.1267</v>
      </c>
      <c r="G102">
        <f t="shared" ca="1" si="7"/>
        <v>9.3896713615022609E-3</v>
      </c>
      <c r="H102">
        <f t="shared" ca="1" si="6"/>
        <v>-2.4313380281689272E-3</v>
      </c>
      <c r="I102">
        <f ca="1"/>
        <v>8.4900000000000003E-2</v>
      </c>
      <c r="J102">
        <f ca="1"/>
        <v>19.694130000000001</v>
      </c>
    </row>
    <row r="103" spans="1:10" x14ac:dyDescent="0.25">
      <c r="A103" t="str">
        <v>1978-06-30</v>
      </c>
      <c r="B103">
        <f t="shared" ca="1" si="4"/>
        <v>55.854737384615383</v>
      </c>
      <c r="C103">
        <f ca="1"/>
        <v>65</v>
      </c>
      <c r="D103">
        <f ca="1"/>
        <v>8.4599999999999995E-2</v>
      </c>
      <c r="E103">
        <f t="shared" ca="1" si="5"/>
        <v>7.0499999999999998E-3</v>
      </c>
      <c r="F103">
        <f ca="1"/>
        <v>11.23</v>
      </c>
      <c r="G103">
        <f t="shared" ca="1" si="7"/>
        <v>7.7519379844961378E-3</v>
      </c>
      <c r="H103">
        <f t="shared" ca="1" si="6"/>
        <v>-7.0193798449613796E-4</v>
      </c>
      <c r="I103">
        <f ca="1"/>
        <v>8.5199999999999998E-2</v>
      </c>
      <c r="J103">
        <f ca="1"/>
        <v>19.629290000000001</v>
      </c>
    </row>
    <row r="104" spans="1:10" x14ac:dyDescent="0.25">
      <c r="A104" t="str">
        <v>1978-07-31</v>
      </c>
      <c r="B104">
        <f t="shared" ca="1" si="4"/>
        <v>55.987584737404575</v>
      </c>
      <c r="C104">
        <f ca="1"/>
        <v>65.5</v>
      </c>
      <c r="D104">
        <f ca="1"/>
        <v>8.6400000000000005E-2</v>
      </c>
      <c r="E104">
        <f t="shared" ca="1" si="5"/>
        <v>7.2000000000000007E-3</v>
      </c>
      <c r="F104">
        <f ca="1"/>
        <v>11.343299999999999</v>
      </c>
      <c r="G104">
        <f t="shared" ca="1" si="7"/>
        <v>7.692307692307665E-3</v>
      </c>
      <c r="H104">
        <f t="shared" ca="1" si="6"/>
        <v>-4.9230769230766431E-4</v>
      </c>
      <c r="I104">
        <f ca="1"/>
        <v>8.5000000000000006E-2</v>
      </c>
      <c r="J104">
        <f ca="1"/>
        <v>19.625389999999999</v>
      </c>
    </row>
    <row r="105" spans="1:10" x14ac:dyDescent="0.25">
      <c r="A105" t="str">
        <v>1978-08-31</v>
      </c>
      <c r="B105">
        <f t="shared" ca="1" si="4"/>
        <v>56.204066763277687</v>
      </c>
      <c r="C105">
        <f ca="1"/>
        <v>65.900000000000006</v>
      </c>
      <c r="D105">
        <f ca="1"/>
        <v>8.4099999999999994E-2</v>
      </c>
      <c r="E105">
        <f t="shared" ca="1" si="5"/>
        <v>7.0083333333333326E-3</v>
      </c>
      <c r="F105">
        <f ca="1"/>
        <v>11.4567</v>
      </c>
      <c r="G105">
        <f t="shared" ca="1" si="7"/>
        <v>6.1068702290076882E-3</v>
      </c>
      <c r="H105">
        <f t="shared" ca="1" si="6"/>
        <v>9.0146310432564439E-4</v>
      </c>
      <c r="I105">
        <f ca="1"/>
        <v>8.1100000000000005E-2</v>
      </c>
      <c r="J105">
        <f ca="1"/>
        <v>19.680959999999999</v>
      </c>
    </row>
    <row r="106" spans="1:10" x14ac:dyDescent="0.25">
      <c r="A106" t="str">
        <v>1978-09-30</v>
      </c>
      <c r="B106">
        <f t="shared" ca="1" si="4"/>
        <v>56.247772481203008</v>
      </c>
      <c r="C106">
        <f ca="1"/>
        <v>66.5</v>
      </c>
      <c r="D106">
        <f ca="1"/>
        <v>8.4199999999999997E-2</v>
      </c>
      <c r="E106">
        <f t="shared" ca="1" si="5"/>
        <v>7.0166666666666667E-3</v>
      </c>
      <c r="F106">
        <f ca="1"/>
        <v>11.57</v>
      </c>
      <c r="G106">
        <f t="shared" ca="1" si="7"/>
        <v>9.1047040971168336E-3</v>
      </c>
      <c r="H106">
        <f t="shared" ca="1" si="6"/>
        <v>-2.0880374304501669E-3</v>
      </c>
      <c r="I106">
        <f ca="1"/>
        <v>8.2400000000000001E-2</v>
      </c>
      <c r="J106">
        <f ca="1"/>
        <v>19.67672</v>
      </c>
    </row>
    <row r="107" spans="1:10" x14ac:dyDescent="0.25">
      <c r="A107" t="str">
        <v>1978-10-31</v>
      </c>
      <c r="B107">
        <f t="shared" ca="1" si="4"/>
        <v>56.965223253353201</v>
      </c>
      <c r="C107">
        <f ca="1"/>
        <v>67.099999999999994</v>
      </c>
      <c r="D107">
        <f ca="1"/>
        <v>8.6400000000000005E-2</v>
      </c>
      <c r="E107">
        <f t="shared" ca="1" si="5"/>
        <v>7.2000000000000007E-3</v>
      </c>
      <c r="F107">
        <f ca="1"/>
        <v>11.8233</v>
      </c>
      <c r="G107">
        <f t="shared" ca="1" si="7"/>
        <v>9.0225563909773765E-3</v>
      </c>
      <c r="H107">
        <f t="shared" ca="1" si="6"/>
        <v>-1.8225563909773758E-3</v>
      </c>
      <c r="I107">
        <f ca="1"/>
        <v>8.48E-2</v>
      </c>
      <c r="J107">
        <f ca="1"/>
        <v>19.565529999999999</v>
      </c>
    </row>
    <row r="108" spans="1:10" x14ac:dyDescent="0.25">
      <c r="A108" t="str">
        <v>1978-11-30</v>
      </c>
      <c r="B108">
        <f t="shared" ca="1" si="4"/>
        <v>57.841309921481489</v>
      </c>
      <c r="C108">
        <f ca="1"/>
        <v>67.5</v>
      </c>
      <c r="D108">
        <f ca="1"/>
        <v>8.8099999999999998E-2</v>
      </c>
      <c r="E108">
        <f t="shared" ca="1" si="5"/>
        <v>7.3416666666666665E-3</v>
      </c>
      <c r="F108">
        <f ca="1"/>
        <v>12.076700000000001</v>
      </c>
      <c r="G108">
        <f t="shared" ca="1" si="7"/>
        <v>5.9612518628913147E-3</v>
      </c>
      <c r="H108">
        <f t="shared" ca="1" si="6"/>
        <v>1.3804148037753518E-3</v>
      </c>
      <c r="I108">
        <f ca="1"/>
        <v>9.0399999999999994E-2</v>
      </c>
      <c r="J108">
        <f ca="1"/>
        <v>19.542870000000001</v>
      </c>
    </row>
    <row r="109" spans="1:10" x14ac:dyDescent="0.25">
      <c r="A109" t="str">
        <v>1978-12-31</v>
      </c>
      <c r="B109">
        <f t="shared" ca="1" si="4"/>
        <v>58.706598379970544</v>
      </c>
      <c r="C109">
        <f ca="1"/>
        <v>67.900000000000006</v>
      </c>
      <c r="D109">
        <f ca="1"/>
        <v>9.01E-2</v>
      </c>
      <c r="E109">
        <f t="shared" ca="1" si="5"/>
        <v>7.508333333333333E-3</v>
      </c>
      <c r="F109">
        <f ca="1"/>
        <v>12.33</v>
      </c>
      <c r="G109">
        <f t="shared" ca="1" si="7"/>
        <v>5.9259259259261121E-3</v>
      </c>
      <c r="H109">
        <f t="shared" ca="1" si="6"/>
        <v>1.5824074074072209E-3</v>
      </c>
      <c r="I109">
        <f ca="1"/>
        <v>8.7499999999999994E-2</v>
      </c>
      <c r="J109">
        <f ca="1"/>
        <v>19.52045</v>
      </c>
    </row>
    <row r="110" spans="1:10" x14ac:dyDescent="0.25">
      <c r="A110" t="str">
        <v>1979-01-31</v>
      </c>
      <c r="B110">
        <f t="shared" ca="1" si="4"/>
        <v>59.718219128467155</v>
      </c>
      <c r="C110">
        <f ca="1"/>
        <v>68.5</v>
      </c>
      <c r="D110">
        <f ca="1"/>
        <v>9.0999999999999998E-2</v>
      </c>
      <c r="E110">
        <f t="shared" ca="1" si="5"/>
        <v>7.5833333333333334E-3</v>
      </c>
      <c r="F110">
        <f ca="1"/>
        <v>12.6533</v>
      </c>
      <c r="G110">
        <f t="shared" ca="1" si="7"/>
        <v>8.8365243004417948E-3</v>
      </c>
      <c r="H110">
        <f t="shared" ca="1" si="6"/>
        <v>-1.2531909671084614E-3</v>
      </c>
      <c r="I110">
        <f ca="1"/>
        <v>8.43E-2</v>
      </c>
      <c r="J110">
        <f ca="1"/>
        <v>19.514340000000001</v>
      </c>
    </row>
    <row r="111" spans="1:10" x14ac:dyDescent="0.25">
      <c r="A111" t="str">
        <v>1979-02-28</v>
      </c>
      <c r="B111">
        <f t="shared" ca="1" si="4"/>
        <v>60.625004619942189</v>
      </c>
      <c r="C111">
        <f ca="1"/>
        <v>69.2</v>
      </c>
      <c r="D111">
        <f ca="1"/>
        <v>9.0999999999999998E-2</v>
      </c>
      <c r="E111">
        <f t="shared" ca="1" si="5"/>
        <v>7.5833333333333334E-3</v>
      </c>
      <c r="F111">
        <f ca="1"/>
        <v>12.976699999999999</v>
      </c>
      <c r="G111">
        <f t="shared" ca="1" si="7"/>
        <v>1.0218978102189746E-2</v>
      </c>
      <c r="H111">
        <f t="shared" ca="1" si="6"/>
        <v>-2.6356447688564129E-3</v>
      </c>
      <c r="I111">
        <f ca="1"/>
        <v>8.7999999999999995E-2</v>
      </c>
      <c r="J111">
        <f ca="1"/>
        <v>19.451899999999998</v>
      </c>
    </row>
    <row r="112" spans="1:10" x14ac:dyDescent="0.25">
      <c r="A112" t="str">
        <v>1979-03-31</v>
      </c>
      <c r="B112">
        <f t="shared" ca="1" si="4"/>
        <v>61.513165951359085</v>
      </c>
      <c r="C112">
        <f ca="1"/>
        <v>69.900000000000006</v>
      </c>
      <c r="D112">
        <f ca="1"/>
        <v>9.1200000000000003E-2</v>
      </c>
      <c r="E112">
        <f t="shared" ca="1" si="5"/>
        <v>7.6E-3</v>
      </c>
      <c r="F112">
        <f ca="1"/>
        <v>13.3</v>
      </c>
      <c r="G112">
        <f t="shared" ca="1" si="7"/>
        <v>1.0115606936416333E-2</v>
      </c>
      <c r="H112">
        <f t="shared" ca="1" si="6"/>
        <v>-2.5156069364163326E-3</v>
      </c>
      <c r="I112">
        <f ca="1"/>
        <v>8.72E-2</v>
      </c>
      <c r="J112">
        <f ca="1"/>
        <v>19.41863</v>
      </c>
    </row>
    <row r="113" spans="1:10" x14ac:dyDescent="0.25">
      <c r="A113" t="str">
        <v>1979-04-30</v>
      </c>
      <c r="B113">
        <f t="shared" ca="1" si="4"/>
        <v>61.941365009915017</v>
      </c>
      <c r="C113">
        <f ca="1"/>
        <v>70.599999999999994</v>
      </c>
      <c r="D113">
        <f ca="1"/>
        <v>9.1800000000000007E-2</v>
      </c>
      <c r="E113">
        <f t="shared" ca="1" si="5"/>
        <v>7.6500000000000005E-3</v>
      </c>
      <c r="F113">
        <f ca="1"/>
        <v>13.5267</v>
      </c>
      <c r="G113">
        <f t="shared" ca="1" si="7"/>
        <v>1.0014306151645114E-2</v>
      </c>
      <c r="H113">
        <f t="shared" ca="1" si="6"/>
        <v>-2.3643061516451132E-3</v>
      </c>
      <c r="I113">
        <f ca="1"/>
        <v>8.6499999999999994E-2</v>
      </c>
      <c r="J113">
        <f ca="1"/>
        <v>19.370899999999999</v>
      </c>
    </row>
    <row r="114" spans="1:10" x14ac:dyDescent="0.25">
      <c r="A114" t="str">
        <v>1979-05-31</v>
      </c>
      <c r="B114">
        <f t="shared" ca="1" si="4"/>
        <v>62.273362889355731</v>
      </c>
      <c r="C114">
        <f ca="1"/>
        <v>71.400000000000006</v>
      </c>
      <c r="D114">
        <f ca="1"/>
        <v>9.2499999999999999E-2</v>
      </c>
      <c r="E114">
        <f t="shared" ca="1" si="5"/>
        <v>7.7083333333333335E-3</v>
      </c>
      <c r="F114">
        <f ca="1"/>
        <v>13.753299999999999</v>
      </c>
      <c r="G114">
        <f t="shared" ca="1" si="7"/>
        <v>1.1331444759206999E-2</v>
      </c>
      <c r="H114">
        <f t="shared" ca="1" si="6"/>
        <v>-3.6231114258736654E-3</v>
      </c>
      <c r="I114">
        <f ca="1"/>
        <v>9.11E-2</v>
      </c>
      <c r="J114">
        <f ca="1"/>
        <v>19.297170000000001</v>
      </c>
    </row>
    <row r="115" spans="1:10" x14ac:dyDescent="0.25">
      <c r="A115" t="str">
        <v>1979-06-30</v>
      </c>
      <c r="B115">
        <f t="shared" ca="1" si="4"/>
        <v>62.598451246537394</v>
      </c>
      <c r="C115">
        <f ca="1"/>
        <v>72.2</v>
      </c>
      <c r="D115">
        <f ca="1"/>
        <v>8.9099999999999999E-2</v>
      </c>
      <c r="E115">
        <f t="shared" ca="1" si="5"/>
        <v>7.4250000000000002E-3</v>
      </c>
      <c r="F115">
        <f ca="1"/>
        <v>13.98</v>
      </c>
      <c r="G115">
        <f t="shared" ca="1" si="7"/>
        <v>1.1204481792717047E-2</v>
      </c>
      <c r="H115">
        <f t="shared" ca="1" si="6"/>
        <v>-3.7794817927170469E-3</v>
      </c>
      <c r="I115">
        <f ca="1"/>
        <v>9.4299999999999995E-2</v>
      </c>
      <c r="J115">
        <f ca="1"/>
        <v>19.251899999999999</v>
      </c>
    </row>
    <row r="116" spans="1:10" x14ac:dyDescent="0.25">
      <c r="A116" t="str">
        <v>1979-07-31</v>
      </c>
      <c r="B116">
        <f t="shared" ca="1" si="4"/>
        <v>62.87212794109589</v>
      </c>
      <c r="C116">
        <f ca="1"/>
        <v>73</v>
      </c>
      <c r="D116">
        <f ca="1"/>
        <v>8.9499999999999996E-2</v>
      </c>
      <c r="E116">
        <f t="shared" ca="1" si="5"/>
        <v>7.4583333333333333E-3</v>
      </c>
      <c r="F116">
        <f ca="1"/>
        <v>14.1967</v>
      </c>
      <c r="G116">
        <f t="shared" ca="1" si="7"/>
        <v>1.1080332409972193E-2</v>
      </c>
      <c r="H116">
        <f t="shared" ca="1" si="6"/>
        <v>-3.6219990766388601E-3</v>
      </c>
      <c r="I116">
        <f ca="1"/>
        <v>9.4799999999999995E-2</v>
      </c>
      <c r="J116">
        <f ca="1"/>
        <v>19.243279999999999</v>
      </c>
    </row>
    <row r="117" spans="1:10" x14ac:dyDescent="0.25">
      <c r="A117" t="str">
        <v>1979-08-31</v>
      </c>
      <c r="B117">
        <f t="shared" ca="1" si="4"/>
        <v>63.225104074626856</v>
      </c>
      <c r="C117">
        <f ca="1"/>
        <v>73.7</v>
      </c>
      <c r="D117">
        <f ca="1"/>
        <v>9.0300000000000005E-2</v>
      </c>
      <c r="E117">
        <f t="shared" ca="1" si="5"/>
        <v>7.5250000000000004E-3</v>
      </c>
      <c r="F117">
        <f ca="1"/>
        <v>14.4133</v>
      </c>
      <c r="G117">
        <f t="shared" ca="1" si="7"/>
        <v>9.5890410958905381E-3</v>
      </c>
      <c r="H117">
        <f t="shared" ca="1" si="6"/>
        <v>-2.0640410958905377E-3</v>
      </c>
      <c r="I117">
        <f ca="1"/>
        <v>9.0700000000000003E-2</v>
      </c>
      <c r="J117">
        <f ca="1"/>
        <v>19.26088</v>
      </c>
    </row>
    <row r="118" spans="1:10" x14ac:dyDescent="0.25">
      <c r="A118" t="str">
        <v>1979-09-30</v>
      </c>
      <c r="B118">
        <f t="shared" ca="1" si="4"/>
        <v>63.571872715053757</v>
      </c>
      <c r="C118">
        <f ca="1"/>
        <v>74.400000000000006</v>
      </c>
      <c r="D118">
        <f ca="1"/>
        <v>9.3299999999999994E-2</v>
      </c>
      <c r="E118">
        <f t="shared" ca="1" si="5"/>
        <v>7.7749999999999998E-3</v>
      </c>
      <c r="F118">
        <f ca="1"/>
        <v>14.63</v>
      </c>
      <c r="G118">
        <f t="shared" ca="1" si="7"/>
        <v>9.4979647218453866E-3</v>
      </c>
      <c r="H118">
        <f t="shared" ca="1" si="6"/>
        <v>-1.7229647218453869E-3</v>
      </c>
      <c r="I118">
        <f ca="1"/>
        <v>8.8800000000000004E-2</v>
      </c>
      <c r="J118">
        <f ca="1"/>
        <v>19.25234</v>
      </c>
    </row>
    <row r="119" spans="1:10" x14ac:dyDescent="0.25">
      <c r="A119" t="str">
        <v>1979-10-31</v>
      </c>
      <c r="B119">
        <f t="shared" ca="1" si="4"/>
        <v>63.225315820478727</v>
      </c>
      <c r="C119">
        <f ca="1"/>
        <v>75.2</v>
      </c>
      <c r="D119">
        <f ca="1"/>
        <v>0.10299999999999999</v>
      </c>
      <c r="E119">
        <f t="shared" ca="1" si="5"/>
        <v>8.5833333333333334E-3</v>
      </c>
      <c r="F119">
        <f ca="1"/>
        <v>14.7067</v>
      </c>
      <c r="G119">
        <f t="shared" ca="1" si="7"/>
        <v>1.0752688172043001E-2</v>
      </c>
      <c r="H119">
        <f t="shared" ca="1" si="6"/>
        <v>-2.1693548387096678E-3</v>
      </c>
      <c r="I119">
        <f ca="1"/>
        <v>8.48E-2</v>
      </c>
      <c r="J119">
        <f ca="1"/>
        <v>19.260490000000001</v>
      </c>
    </row>
    <row r="120" spans="1:10" x14ac:dyDescent="0.25">
      <c r="A120" t="str">
        <v>1979-11-30</v>
      </c>
      <c r="B120">
        <f t="shared" ca="1" si="4"/>
        <v>62.885629477631575</v>
      </c>
      <c r="C120">
        <f ca="1"/>
        <v>76</v>
      </c>
      <c r="D120">
        <f ca="1"/>
        <v>0.1065</v>
      </c>
      <c r="E120">
        <f t="shared" ca="1" si="5"/>
        <v>8.8749999999999992E-3</v>
      </c>
      <c r="F120">
        <f ca="1"/>
        <v>14.783300000000001</v>
      </c>
      <c r="G120">
        <f t="shared" ca="1" si="7"/>
        <v>1.0638297872340496E-2</v>
      </c>
      <c r="H120">
        <f t="shared" ca="1" si="6"/>
        <v>-1.7632978723404972E-3</v>
      </c>
      <c r="I120">
        <f ca="1"/>
        <v>8.3900000000000002E-2</v>
      </c>
      <c r="J120">
        <f ca="1"/>
        <v>19.243099999999998</v>
      </c>
    </row>
    <row r="121" spans="1:10" x14ac:dyDescent="0.25">
      <c r="A121" t="str">
        <v>1979-12-31</v>
      </c>
      <c r="B121">
        <f t="shared" ca="1" si="4"/>
        <v>62.472097009102725</v>
      </c>
      <c r="C121">
        <f ca="1"/>
        <v>76.900000000000006</v>
      </c>
      <c r="D121">
        <f ca="1"/>
        <v>0.10390000000000001</v>
      </c>
      <c r="E121">
        <f t="shared" ca="1" si="5"/>
        <v>8.6583333333333339E-3</v>
      </c>
      <c r="F121">
        <f ca="1"/>
        <v>14.86</v>
      </c>
      <c r="G121">
        <f t="shared" ca="1" si="7"/>
        <v>1.1842105263157876E-2</v>
      </c>
      <c r="H121">
        <f t="shared" ca="1" si="6"/>
        <v>-3.1837719298245422E-3</v>
      </c>
      <c r="I121">
        <f ca="1"/>
        <v>8.4099999999999994E-2</v>
      </c>
      <c r="J121">
        <f ca="1"/>
        <v>19.200990000000001</v>
      </c>
    </row>
    <row r="122" spans="1:10" x14ac:dyDescent="0.25">
      <c r="A122" t="str">
        <v>1980-01-31</v>
      </c>
      <c r="B122">
        <f t="shared" ca="1" si="4"/>
        <v>62.18502385</v>
      </c>
      <c r="C122">
        <f ca="1"/>
        <v>78</v>
      </c>
      <c r="D122">
        <f ca="1"/>
        <v>0.108</v>
      </c>
      <c r="E122">
        <f t="shared" ca="1" si="5"/>
        <v>8.9999999999999993E-3</v>
      </c>
      <c r="F122">
        <f ca="1"/>
        <v>15.003299999999999</v>
      </c>
      <c r="G122">
        <f t="shared" ca="1" si="7"/>
        <v>1.4304291287386084E-2</v>
      </c>
      <c r="H122">
        <f t="shared" ca="1" si="6"/>
        <v>-5.3042912873860846E-3</v>
      </c>
      <c r="I122">
        <f ca="1"/>
        <v>7.9799999999999996E-2</v>
      </c>
      <c r="J122">
        <f ca="1"/>
        <v>19.09703</v>
      </c>
    </row>
    <row r="123" spans="1:10" x14ac:dyDescent="0.25">
      <c r="A123" t="str">
        <v>1980-02-29</v>
      </c>
      <c r="B123">
        <f t="shared" ca="1" si="4"/>
        <v>61.984706198734173</v>
      </c>
      <c r="C123">
        <f ca="1"/>
        <v>79</v>
      </c>
      <c r="D123">
        <f ca="1"/>
        <v>0.1241</v>
      </c>
      <c r="E123">
        <f t="shared" ca="1" si="5"/>
        <v>1.0341666666666667E-2</v>
      </c>
      <c r="F123">
        <f ca="1"/>
        <v>15.146699999999999</v>
      </c>
      <c r="G123">
        <f t="shared" ca="1" si="7"/>
        <v>1.2820512820512775E-2</v>
      </c>
      <c r="H123">
        <f t="shared" ca="1" si="6"/>
        <v>-2.4788461538461076E-3</v>
      </c>
      <c r="I123">
        <f ca="1"/>
        <v>6.2100000000000002E-2</v>
      </c>
      <c r="J123">
        <f ca="1"/>
        <v>18.99597</v>
      </c>
    </row>
    <row r="124" spans="1:10" x14ac:dyDescent="0.25">
      <c r="A124" t="str">
        <v>1980-03-31</v>
      </c>
      <c r="B124">
        <f t="shared" ca="1" si="4"/>
        <v>61.71185255930088</v>
      </c>
      <c r="C124">
        <f ca="1"/>
        <v>80.099999999999994</v>
      </c>
      <c r="D124">
        <f ca="1"/>
        <v>0.1275</v>
      </c>
      <c r="E124">
        <f t="shared" ca="1" si="5"/>
        <v>1.0625000000000001E-2</v>
      </c>
      <c r="F124">
        <f ca="1"/>
        <v>15.29</v>
      </c>
      <c r="G124">
        <f t="shared" ca="1" si="7"/>
        <v>1.3924050632911245E-2</v>
      </c>
      <c r="H124">
        <f t="shared" ca="1" si="6"/>
        <v>-3.2990506329112438E-3</v>
      </c>
      <c r="I124">
        <f ca="1"/>
        <v>7.3099999999999998E-2</v>
      </c>
      <c r="J124">
        <f ca="1"/>
        <v>18.874089999999999</v>
      </c>
    </row>
    <row r="125" spans="1:10" x14ac:dyDescent="0.25">
      <c r="A125" t="str">
        <v>1980-04-30</v>
      </c>
      <c r="B125">
        <f t="shared" ca="1" si="4"/>
        <v>60.635245121137203</v>
      </c>
      <c r="C125">
        <f ca="1"/>
        <v>80.900000000000006</v>
      </c>
      <c r="D125">
        <f ca="1"/>
        <v>0.1147</v>
      </c>
      <c r="E125">
        <f t="shared" ca="1" si="5"/>
        <v>9.5583333333333336E-3</v>
      </c>
      <c r="F125">
        <f ca="1"/>
        <v>15.173299999999999</v>
      </c>
      <c r="G125">
        <f t="shared" ca="1" si="7"/>
        <v>9.98751560549338E-3</v>
      </c>
      <c r="H125">
        <f t="shared" ca="1" si="6"/>
        <v>-4.2918227216004641E-4</v>
      </c>
      <c r="I125">
        <f ca="1"/>
        <v>0.09</v>
      </c>
      <c r="J125">
        <f ca="1"/>
        <v>18.81457</v>
      </c>
    </row>
    <row r="126" spans="1:10" x14ac:dyDescent="0.25">
      <c r="A126" t="str">
        <v>1980-05-31</v>
      </c>
      <c r="B126">
        <f t="shared" ca="1" si="4"/>
        <v>59.580117499387995</v>
      </c>
      <c r="C126">
        <f ca="1"/>
        <v>81.7</v>
      </c>
      <c r="D126">
        <f ca="1"/>
        <v>0.1018</v>
      </c>
      <c r="E126">
        <f t="shared" ca="1" si="5"/>
        <v>8.483333333333334E-3</v>
      </c>
      <c r="F126">
        <f ca="1"/>
        <v>15.056699999999999</v>
      </c>
      <c r="G126">
        <f t="shared" ca="1" si="7"/>
        <v>9.8887515451173691E-3</v>
      </c>
      <c r="H126">
        <f t="shared" ca="1" si="6"/>
        <v>-1.405418211784035E-3</v>
      </c>
      <c r="I126">
        <f ca="1"/>
        <v>9.9599999999999994E-2</v>
      </c>
      <c r="J126">
        <f ca="1"/>
        <v>18.779240000000001</v>
      </c>
    </row>
    <row r="127" spans="1:10" x14ac:dyDescent="0.25">
      <c r="A127" t="str">
        <v>1980-06-30</v>
      </c>
      <c r="B127">
        <f t="shared" ca="1" si="4"/>
        <v>58.545061090909087</v>
      </c>
      <c r="C127">
        <f ca="1"/>
        <v>82.5</v>
      </c>
      <c r="D127">
        <f ca="1"/>
        <v>9.7799999999999998E-2</v>
      </c>
      <c r="E127">
        <f t="shared" ca="1" si="5"/>
        <v>8.1499999999999993E-3</v>
      </c>
      <c r="F127">
        <f ca="1"/>
        <v>14.94</v>
      </c>
      <c r="G127">
        <f t="shared" ca="1" si="7"/>
        <v>9.7919216646267238E-3</v>
      </c>
      <c r="H127">
        <f t="shared" ca="1" si="6"/>
        <v>-1.6419216646267245E-3</v>
      </c>
      <c r="I127">
        <f ca="1"/>
        <v>9.8299999999999998E-2</v>
      </c>
      <c r="J127">
        <f ca="1"/>
        <v>18.721969999999999</v>
      </c>
    </row>
    <row r="128" spans="1:10" x14ac:dyDescent="0.25">
      <c r="A128" t="str">
        <v>1980-07-31</v>
      </c>
      <c r="B128">
        <f t="shared" ca="1" si="4"/>
        <v>58.082789830508474</v>
      </c>
      <c r="C128">
        <f ca="1"/>
        <v>82.6</v>
      </c>
      <c r="D128">
        <f ca="1"/>
        <v>0.10249999999999999</v>
      </c>
      <c r="E128">
        <f t="shared" ca="1" si="5"/>
        <v>8.5416666666666662E-3</v>
      </c>
      <c r="F128">
        <f ca="1"/>
        <v>14.84</v>
      </c>
      <c r="G128">
        <f t="shared" ca="1" si="7"/>
        <v>1.2121212121212199E-3</v>
      </c>
      <c r="H128">
        <f t="shared" ca="1" si="6"/>
        <v>7.3295454545454462E-3</v>
      </c>
      <c r="I128">
        <f ca="1"/>
        <v>8.8200000000000001E-2</v>
      </c>
      <c r="J128">
        <f ca="1"/>
        <v>18.858540000000001</v>
      </c>
    </row>
    <row r="129" spans="1:10" x14ac:dyDescent="0.25">
      <c r="A129" t="str">
        <v>1980-08-31</v>
      </c>
      <c r="B129">
        <f t="shared" ca="1" si="4"/>
        <v>57.275352644230765</v>
      </c>
      <c r="C129">
        <f ca="1"/>
        <v>83.2</v>
      </c>
      <c r="D129">
        <f ca="1"/>
        <v>0.111</v>
      </c>
      <c r="E129">
        <f t="shared" ca="1" si="5"/>
        <v>9.2499999999999995E-3</v>
      </c>
      <c r="F129">
        <f ca="1"/>
        <v>14.74</v>
      </c>
      <c r="G129">
        <f t="shared" ca="1" si="7"/>
        <v>7.2639225181598821E-3</v>
      </c>
      <c r="H129">
        <f t="shared" ca="1" si="6"/>
        <v>1.9860774818401174E-3</v>
      </c>
      <c r="I129">
        <f ca="1"/>
        <v>7.8100000000000003E-2</v>
      </c>
      <c r="J129">
        <f ca="1"/>
        <v>18.858319999999999</v>
      </c>
    </row>
    <row r="130" spans="1:10" x14ac:dyDescent="0.25">
      <c r="A130" t="str">
        <v>1980-09-30</v>
      </c>
      <c r="B130">
        <f t="shared" ref="B130:B193" ca="1" si="8">F130*$C$669/C130</f>
        <v>56.412160190703212</v>
      </c>
      <c r="C130">
        <f ca="1"/>
        <v>83.9</v>
      </c>
      <c r="D130">
        <f ca="1"/>
        <v>0.11509999999999999</v>
      </c>
      <c r="E130">
        <f t="shared" ca="1" si="5"/>
        <v>9.5916666666666667E-3</v>
      </c>
      <c r="F130">
        <f ca="1"/>
        <v>14.64</v>
      </c>
      <c r="G130">
        <f t="shared" ca="1" si="7"/>
        <v>8.4134615384616751E-3</v>
      </c>
      <c r="H130">
        <f t="shared" ca="1" si="6"/>
        <v>1.1782051282049916E-3</v>
      </c>
      <c r="I130">
        <f ca="1"/>
        <v>7.2800000000000004E-2</v>
      </c>
      <c r="J130">
        <f ca="1"/>
        <v>18.835629999999998</v>
      </c>
    </row>
    <row r="131" spans="1:10" x14ac:dyDescent="0.25">
      <c r="A131" t="str">
        <v>1980-10-31</v>
      </c>
      <c r="B131">
        <f t="shared" ca="1" si="8"/>
        <v>56.108355371900828</v>
      </c>
      <c r="C131">
        <f ca="1"/>
        <v>84.7</v>
      </c>
      <c r="D131">
        <f ca="1"/>
        <v>0.11749999999999999</v>
      </c>
      <c r="E131">
        <f t="shared" ref="E131:E194" ca="1" si="9">D131/12</f>
        <v>9.7916666666666655E-3</v>
      </c>
      <c r="F131">
        <f ca="1"/>
        <v>14.7</v>
      </c>
      <c r="G131">
        <f t="shared" ca="1" si="7"/>
        <v>9.5351609058402786E-3</v>
      </c>
      <c r="H131">
        <f t="shared" ref="H131:H194" ca="1" si="10">E131-G131</f>
        <v>2.5650576082638689E-4</v>
      </c>
      <c r="I131">
        <f ca="1"/>
        <v>6.9000000000000006E-2</v>
      </c>
      <c r="J131">
        <f ca="1"/>
        <v>18.750139999999998</v>
      </c>
    </row>
    <row r="132" spans="1:10" x14ac:dyDescent="0.25">
      <c r="A132" t="str">
        <v>1980-11-30</v>
      </c>
      <c r="B132">
        <f t="shared" ca="1" si="8"/>
        <v>55.745036915887859</v>
      </c>
      <c r="C132">
        <f ca="1"/>
        <v>85.6</v>
      </c>
      <c r="D132">
        <f ca="1"/>
        <v>0.1268</v>
      </c>
      <c r="E132">
        <f t="shared" ca="1" si="9"/>
        <v>1.0566666666666667E-2</v>
      </c>
      <c r="F132">
        <f ca="1"/>
        <v>14.76</v>
      </c>
      <c r="G132">
        <f t="shared" ref="G132:G195" ca="1" si="11">C132/C131-1</f>
        <v>1.0625737898465104E-2</v>
      </c>
      <c r="H132">
        <f t="shared" ca="1" si="10"/>
        <v>-5.9071231798437165E-5</v>
      </c>
      <c r="I132">
        <f ca="1"/>
        <v>5.6800000000000003E-2</v>
      </c>
      <c r="J132">
        <f ca="1"/>
        <v>18.688089999999999</v>
      </c>
    </row>
    <row r="133" spans="1:10" x14ac:dyDescent="0.25">
      <c r="A133" t="str">
        <v>1980-12-31</v>
      </c>
      <c r="B133">
        <f t="shared" ca="1" si="8"/>
        <v>55.453386805555553</v>
      </c>
      <c r="C133">
        <f ca="1"/>
        <v>86.4</v>
      </c>
      <c r="D133">
        <f ca="1"/>
        <v>0.12839999999999999</v>
      </c>
      <c r="E133">
        <f t="shared" ca="1" si="9"/>
        <v>1.0699999999999999E-2</v>
      </c>
      <c r="F133">
        <f ca="1"/>
        <v>14.82</v>
      </c>
      <c r="G133">
        <f t="shared" ca="1" si="11"/>
        <v>9.3457943925234765E-3</v>
      </c>
      <c r="H133">
        <f t="shared" ca="1" si="10"/>
        <v>1.3542056074765229E-3</v>
      </c>
      <c r="I133">
        <f ca="1"/>
        <v>5.8599999999999999E-2</v>
      </c>
      <c r="J133">
        <f ca="1"/>
        <v>18.60547</v>
      </c>
    </row>
    <row r="134" spans="1:10" x14ac:dyDescent="0.25">
      <c r="A134" t="str">
        <v>1981-01-31</v>
      </c>
      <c r="B134">
        <f t="shared" ca="1" si="8"/>
        <v>54.648042889908254</v>
      </c>
      <c r="C134">
        <f ca="1"/>
        <v>87.2</v>
      </c>
      <c r="D134">
        <f ca="1"/>
        <v>0.12570000000000001</v>
      </c>
      <c r="E134">
        <f t="shared" ca="1" si="9"/>
        <v>1.0475E-2</v>
      </c>
      <c r="F134">
        <f ca="1"/>
        <v>14.74</v>
      </c>
      <c r="G134">
        <f t="shared" ca="1" si="11"/>
        <v>9.2592592592593004E-3</v>
      </c>
      <c r="H134">
        <f t="shared" ca="1" si="10"/>
        <v>1.2157407407406996E-3</v>
      </c>
      <c r="I134">
        <f ca="1"/>
        <v>6.3600000000000004E-2</v>
      </c>
      <c r="J134">
        <f ca="1"/>
        <v>18.575610000000001</v>
      </c>
    </row>
    <row r="135" spans="1:10" x14ac:dyDescent="0.25">
      <c r="A135" t="str">
        <v>1981-02-28</v>
      </c>
      <c r="B135">
        <f t="shared" ca="1" si="8"/>
        <v>53.857341590909094</v>
      </c>
      <c r="C135">
        <f ca="1"/>
        <v>88</v>
      </c>
      <c r="D135">
        <f ca="1"/>
        <v>0.13189999999999999</v>
      </c>
      <c r="E135">
        <f t="shared" ca="1" si="9"/>
        <v>1.0991666666666665E-2</v>
      </c>
      <c r="F135">
        <f ca="1"/>
        <v>14.66</v>
      </c>
      <c r="G135">
        <f t="shared" ca="1" si="11"/>
        <v>9.1743119266054496E-3</v>
      </c>
      <c r="H135">
        <f t="shared" ca="1" si="10"/>
        <v>1.8173547400612156E-3</v>
      </c>
      <c r="I135">
        <f ca="1"/>
        <v>6.3500000000000001E-2</v>
      </c>
      <c r="J135">
        <f ca="1"/>
        <v>18.50403</v>
      </c>
    </row>
    <row r="136" spans="1:10" x14ac:dyDescent="0.25">
      <c r="A136" t="str">
        <v>1981-03-31</v>
      </c>
      <c r="B136">
        <f t="shared" ca="1" si="8"/>
        <v>53.200708577878103</v>
      </c>
      <c r="C136">
        <f ca="1"/>
        <v>88.6</v>
      </c>
      <c r="D136">
        <f ca="1"/>
        <v>0.13120000000000001</v>
      </c>
      <c r="E136">
        <f t="shared" ca="1" si="9"/>
        <v>1.0933333333333335E-2</v>
      </c>
      <c r="F136">
        <f ca="1"/>
        <v>14.58</v>
      </c>
      <c r="G136">
        <f t="shared" ca="1" si="11"/>
        <v>6.8181818181818343E-3</v>
      </c>
      <c r="H136">
        <f t="shared" ca="1" si="10"/>
        <v>4.1151515151515005E-3</v>
      </c>
      <c r="I136">
        <f ca="1"/>
        <v>6.1600000000000002E-2</v>
      </c>
      <c r="J136">
        <f ca="1"/>
        <v>18.496390000000002</v>
      </c>
    </row>
    <row r="137" spans="1:10" x14ac:dyDescent="0.25">
      <c r="A137" t="str">
        <v>1981-04-30</v>
      </c>
      <c r="B137">
        <f t="shared" ca="1" si="8"/>
        <v>53.422114257014591</v>
      </c>
      <c r="C137">
        <f ca="1"/>
        <v>89.1</v>
      </c>
      <c r="D137">
        <f ca="1"/>
        <v>0.1368</v>
      </c>
      <c r="E137">
        <f t="shared" ca="1" si="9"/>
        <v>1.14E-2</v>
      </c>
      <c r="F137">
        <f ca="1"/>
        <v>14.7233</v>
      </c>
      <c r="G137">
        <f t="shared" ca="1" si="11"/>
        <v>5.6433408577878375E-3</v>
      </c>
      <c r="H137">
        <f t="shared" ca="1" si="10"/>
        <v>5.756659142212163E-3</v>
      </c>
      <c r="I137">
        <f ca="1"/>
        <v>5.6399999999999999E-2</v>
      </c>
      <c r="J137">
        <f ca="1"/>
        <v>18.479109999999999</v>
      </c>
    </row>
    <row r="138" spans="1:10" x14ac:dyDescent="0.25">
      <c r="A138" t="str">
        <v>1981-05-31</v>
      </c>
      <c r="B138">
        <f t="shared" ca="1" si="8"/>
        <v>53.581608803790417</v>
      </c>
      <c r="C138">
        <f ca="1"/>
        <v>89.7</v>
      </c>
      <c r="D138">
        <f ca="1"/>
        <v>0.14099999999999999</v>
      </c>
      <c r="E138">
        <f t="shared" ca="1" si="9"/>
        <v>1.1749999999999998E-2</v>
      </c>
      <c r="F138">
        <f ca="1"/>
        <v>14.8667</v>
      </c>
      <c r="G138">
        <f t="shared" ca="1" si="11"/>
        <v>6.7340067340069254E-3</v>
      </c>
      <c r="H138">
        <f t="shared" ca="1" si="10"/>
        <v>5.0159932659930729E-3</v>
      </c>
      <c r="I138">
        <f ca="1"/>
        <v>5.5800000000000002E-2</v>
      </c>
      <c r="J138">
        <f ca="1"/>
        <v>18.441479999999999</v>
      </c>
    </row>
    <row r="139" spans="1:10" x14ac:dyDescent="0.25">
      <c r="A139" t="str">
        <v>1981-06-30</v>
      </c>
      <c r="B139">
        <f t="shared" ca="1" si="8"/>
        <v>53.619866408839776</v>
      </c>
      <c r="C139">
        <f ca="1"/>
        <v>90.5</v>
      </c>
      <c r="D139">
        <f ca="1"/>
        <v>0.13469999999999999</v>
      </c>
      <c r="E139">
        <f t="shared" ca="1" si="9"/>
        <v>1.1224999999999999E-2</v>
      </c>
      <c r="F139">
        <f ca="1"/>
        <v>15.01</v>
      </c>
      <c r="G139">
        <f t="shared" ca="1" si="11"/>
        <v>8.9186176142697082E-3</v>
      </c>
      <c r="H139">
        <f t="shared" ca="1" si="10"/>
        <v>2.3063823857302906E-3</v>
      </c>
      <c r="I139">
        <f ca="1"/>
        <v>6.3E-2</v>
      </c>
      <c r="J139">
        <f ca="1"/>
        <v>18.384139999999999</v>
      </c>
    </row>
    <row r="140" spans="1:10" x14ac:dyDescent="0.25">
      <c r="A140" t="str">
        <v>1981-07-31</v>
      </c>
      <c r="B140">
        <f t="shared" ca="1" si="8"/>
        <v>53.34018841202186</v>
      </c>
      <c r="C140">
        <f ca="1"/>
        <v>91.5</v>
      </c>
      <c r="D140">
        <f ca="1"/>
        <v>0.14280000000000001</v>
      </c>
      <c r="E140">
        <f t="shared" ca="1" si="9"/>
        <v>1.1900000000000001E-2</v>
      </c>
      <c r="F140">
        <f ca="1"/>
        <v>15.0967</v>
      </c>
      <c r="G140">
        <f t="shared" ca="1" si="11"/>
        <v>1.1049723756906049E-2</v>
      </c>
      <c r="H140">
        <f t="shared" ca="1" si="10"/>
        <v>8.5027624309395172E-4</v>
      </c>
      <c r="I140">
        <f ca="1"/>
        <v>6.0100000000000001E-2</v>
      </c>
      <c r="J140">
        <f ca="1"/>
        <v>18.306740000000001</v>
      </c>
    </row>
    <row r="141" spans="1:10" x14ac:dyDescent="0.25">
      <c r="A141" t="str">
        <v>1981-08-31</v>
      </c>
      <c r="B141">
        <f t="shared" ca="1" si="8"/>
        <v>53.238874623644243</v>
      </c>
      <c r="C141">
        <f ca="1"/>
        <v>92.2</v>
      </c>
      <c r="D141">
        <f ca="1"/>
        <v>0.14940000000000001</v>
      </c>
      <c r="E141">
        <f t="shared" ca="1" si="9"/>
        <v>1.2450000000000001E-2</v>
      </c>
      <c r="F141">
        <f ca="1"/>
        <v>15.183299999999999</v>
      </c>
      <c r="G141">
        <f t="shared" ca="1" si="11"/>
        <v>7.6502732240437687E-3</v>
      </c>
      <c r="H141">
        <f t="shared" ca="1" si="10"/>
        <v>4.7997267759562322E-3</v>
      </c>
      <c r="I141">
        <f ca="1"/>
        <v>5.4699999999999999E-2</v>
      </c>
      <c r="J141">
        <f ca="1"/>
        <v>18.290299999999998</v>
      </c>
    </row>
    <row r="142" spans="1:10" x14ac:dyDescent="0.25">
      <c r="A142" t="str">
        <v>1981-09-30</v>
      </c>
      <c r="B142">
        <f t="shared" ca="1" si="8"/>
        <v>53.025280021482274</v>
      </c>
      <c r="C142">
        <f ca="1"/>
        <v>93.1</v>
      </c>
      <c r="D142">
        <f ca="1"/>
        <v>0.1532</v>
      </c>
      <c r="E142">
        <f t="shared" ca="1" si="9"/>
        <v>1.2766666666666667E-2</v>
      </c>
      <c r="F142">
        <f ca="1"/>
        <v>15.27</v>
      </c>
      <c r="G142">
        <f t="shared" ca="1" si="11"/>
        <v>9.761388286333883E-3</v>
      </c>
      <c r="H142">
        <f t="shared" ca="1" si="10"/>
        <v>3.0052783803327845E-3</v>
      </c>
      <c r="I142">
        <f ca="1"/>
        <v>6.4799999999999996E-2</v>
      </c>
      <c r="J142">
        <f ca="1"/>
        <v>18.234860000000001</v>
      </c>
    </row>
    <row r="143" spans="1:10" x14ac:dyDescent="0.25">
      <c r="A143" t="str">
        <v>1981-10-31</v>
      </c>
      <c r="B143">
        <f t="shared" ca="1" si="8"/>
        <v>52.958804068522483</v>
      </c>
      <c r="C143">
        <f ca="1"/>
        <v>93.4</v>
      </c>
      <c r="D143">
        <f ca="1"/>
        <v>0.1515</v>
      </c>
      <c r="E143">
        <f t="shared" ca="1" si="9"/>
        <v>1.2624999999999999E-2</v>
      </c>
      <c r="F143">
        <f ca="1"/>
        <v>15.3</v>
      </c>
      <c r="G143">
        <f t="shared" ca="1" si="11"/>
        <v>3.2223415682064438E-3</v>
      </c>
      <c r="H143">
        <f t="shared" ca="1" si="10"/>
        <v>9.4026584317935553E-3</v>
      </c>
      <c r="I143">
        <f ca="1"/>
        <v>6.5299999999999997E-2</v>
      </c>
      <c r="J143">
        <f ca="1"/>
        <v>18.29815</v>
      </c>
    </row>
    <row r="144" spans="1:10" x14ac:dyDescent="0.25">
      <c r="A144" t="str">
        <v>1981-11-30</v>
      </c>
      <c r="B144">
        <f t="shared" ca="1" si="8"/>
        <v>52.836364925373132</v>
      </c>
      <c r="C144">
        <f ca="1"/>
        <v>93.8</v>
      </c>
      <c r="D144">
        <f ca="1"/>
        <v>0.13389999999999999</v>
      </c>
      <c r="E144">
        <f t="shared" ca="1" si="9"/>
        <v>1.1158333333333333E-2</v>
      </c>
      <c r="F144">
        <f ca="1"/>
        <v>15.33</v>
      </c>
      <c r="G144">
        <f t="shared" ca="1" si="11"/>
        <v>4.2826552462524869E-3</v>
      </c>
      <c r="H144">
        <f t="shared" ca="1" si="10"/>
        <v>6.8756780870808457E-3</v>
      </c>
      <c r="I144">
        <f ca="1"/>
        <v>8.0600000000000005E-2</v>
      </c>
      <c r="J144">
        <f ca="1"/>
        <v>18.341539999999998</v>
      </c>
    </row>
    <row r="145" spans="1:10" x14ac:dyDescent="0.25">
      <c r="A145" t="str">
        <v>1981-12-31</v>
      </c>
      <c r="B145">
        <f t="shared" ca="1" si="8"/>
        <v>52.770985759829969</v>
      </c>
      <c r="C145">
        <f ca="1"/>
        <v>94.1</v>
      </c>
      <c r="D145">
        <f ca="1"/>
        <v>0.13719999999999999</v>
      </c>
      <c r="E145">
        <f t="shared" ca="1" si="9"/>
        <v>1.1433333333333332E-2</v>
      </c>
      <c r="F145">
        <f ca="1"/>
        <v>15.36</v>
      </c>
      <c r="G145">
        <f t="shared" ca="1" si="11"/>
        <v>3.1982942430703876E-3</v>
      </c>
      <c r="H145">
        <f t="shared" ca="1" si="10"/>
        <v>8.2350390902629442E-3</v>
      </c>
      <c r="I145">
        <f ca="1"/>
        <v>7.6700000000000004E-2</v>
      </c>
      <c r="J145">
        <f ca="1"/>
        <v>18.384689999999999</v>
      </c>
    </row>
    <row r="146" spans="1:10" x14ac:dyDescent="0.25">
      <c r="A146" t="str">
        <v>1982-01-31</v>
      </c>
      <c r="B146">
        <f t="shared" ca="1" si="8"/>
        <v>51.975535166313556</v>
      </c>
      <c r="C146">
        <f ca="1"/>
        <v>94.4</v>
      </c>
      <c r="D146">
        <f ca="1"/>
        <v>0.1459</v>
      </c>
      <c r="E146">
        <f t="shared" ca="1" si="9"/>
        <v>1.2158333333333333E-2</v>
      </c>
      <c r="F146">
        <f ca="1"/>
        <v>15.1767</v>
      </c>
      <c r="G146">
        <f t="shared" ca="1" si="11"/>
        <v>3.1880977683316214E-3</v>
      </c>
      <c r="H146">
        <f t="shared" ca="1" si="10"/>
        <v>8.9702355650017121E-3</v>
      </c>
      <c r="I146">
        <f ca="1"/>
        <v>7.5999999999999998E-2</v>
      </c>
      <c r="J146">
        <f ca="1"/>
        <v>18.409130000000001</v>
      </c>
    </row>
    <row r="147" spans="1:10" x14ac:dyDescent="0.25">
      <c r="A147" t="str">
        <v>1982-02-28</v>
      </c>
      <c r="B147">
        <f t="shared" ca="1" si="8"/>
        <v>51.184783002111928</v>
      </c>
      <c r="C147">
        <f ca="1"/>
        <v>94.7</v>
      </c>
      <c r="D147">
        <f ca="1"/>
        <v>0.14430000000000001</v>
      </c>
      <c r="E147">
        <f t="shared" ca="1" si="9"/>
        <v>1.2025000000000001E-2</v>
      </c>
      <c r="F147">
        <f ca="1"/>
        <v>14.9933</v>
      </c>
      <c r="G147">
        <f t="shared" ca="1" si="11"/>
        <v>3.1779661016948513E-3</v>
      </c>
      <c r="H147">
        <f t="shared" ca="1" si="10"/>
        <v>8.8470338983051497E-3</v>
      </c>
      <c r="I147">
        <f ca="1"/>
        <v>8.14E-2</v>
      </c>
      <c r="J147">
        <f ca="1"/>
        <v>18.433409999999999</v>
      </c>
    </row>
    <row r="148" spans="1:10" x14ac:dyDescent="0.25">
      <c r="A148" t="str">
        <v>1982-03-31</v>
      </c>
      <c r="B148">
        <f t="shared" ca="1" si="8"/>
        <v>50.55902544878564</v>
      </c>
      <c r="C148">
        <f ca="1"/>
        <v>94.7</v>
      </c>
      <c r="D148">
        <f ca="1"/>
        <v>0.1386</v>
      </c>
      <c r="E148">
        <f t="shared" ca="1" si="9"/>
        <v>1.155E-2</v>
      </c>
      <c r="F148">
        <f ca="1"/>
        <v>14.81</v>
      </c>
      <c r="G148">
        <f t="shared" ca="1" si="11"/>
        <v>0</v>
      </c>
      <c r="H148">
        <f t="shared" ca="1" si="10"/>
        <v>1.155E-2</v>
      </c>
      <c r="I148">
        <f ca="1"/>
        <v>9.1300000000000006E-2</v>
      </c>
      <c r="J148">
        <f ca="1"/>
        <v>18.53566</v>
      </c>
    </row>
    <row r="149" spans="1:10" x14ac:dyDescent="0.25">
      <c r="A149" t="str">
        <v>1982-04-30</v>
      </c>
      <c r="B149">
        <f t="shared" ca="1" si="8"/>
        <v>49.673491996842102</v>
      </c>
      <c r="C149">
        <f ca="1"/>
        <v>95</v>
      </c>
      <c r="D149">
        <f ca="1"/>
        <v>0.13869999999999999</v>
      </c>
      <c r="E149">
        <f t="shared" ca="1" si="9"/>
        <v>1.1558333333333332E-2</v>
      </c>
      <c r="F149">
        <f ca="1"/>
        <v>14.5967</v>
      </c>
      <c r="G149">
        <f t="shared" ca="1" si="11"/>
        <v>3.1678986272438703E-3</v>
      </c>
      <c r="H149">
        <f t="shared" ca="1" si="10"/>
        <v>8.3904347060894616E-3</v>
      </c>
      <c r="I149">
        <f ca="1"/>
        <v>8.5300000000000001E-2</v>
      </c>
      <c r="J149">
        <f ca="1"/>
        <v>18.539929999999998</v>
      </c>
    </row>
    <row r="150" spans="1:10" x14ac:dyDescent="0.25">
      <c r="A150" t="str">
        <v>1982-05-31</v>
      </c>
      <c r="B150">
        <f t="shared" ca="1" si="8"/>
        <v>48.487919085505737</v>
      </c>
      <c r="C150">
        <f ca="1"/>
        <v>95.9</v>
      </c>
      <c r="D150">
        <f ca="1"/>
        <v>0.13619999999999999</v>
      </c>
      <c r="E150">
        <f t="shared" ca="1" si="9"/>
        <v>1.1349999999999999E-2</v>
      </c>
      <c r="F150">
        <f ca="1"/>
        <v>14.3833</v>
      </c>
      <c r="G150">
        <f t="shared" ca="1" si="11"/>
        <v>9.4736842105263008E-3</v>
      </c>
      <c r="H150">
        <f t="shared" ca="1" si="10"/>
        <v>1.8763157894736981E-3</v>
      </c>
      <c r="I150">
        <f ca="1"/>
        <v>8.9800000000000005E-2</v>
      </c>
      <c r="J150">
        <f ca="1"/>
        <v>18.447389999999999</v>
      </c>
    </row>
    <row r="151" spans="1:10" x14ac:dyDescent="0.25">
      <c r="A151" t="str">
        <v>1982-06-30</v>
      </c>
      <c r="B151">
        <f t="shared" ca="1" si="8"/>
        <v>47.227149175257736</v>
      </c>
      <c r="C151">
        <f ca="1"/>
        <v>97</v>
      </c>
      <c r="D151">
        <f ca="1"/>
        <v>0.14299999999999999</v>
      </c>
      <c r="E151">
        <f t="shared" ca="1" si="9"/>
        <v>1.1916666666666666E-2</v>
      </c>
      <c r="F151">
        <f ca="1"/>
        <v>14.17</v>
      </c>
      <c r="G151">
        <f t="shared" ca="1" si="11"/>
        <v>1.1470281543274119E-2</v>
      </c>
      <c r="H151">
        <f t="shared" ca="1" si="10"/>
        <v>4.4638512339254671E-4</v>
      </c>
      <c r="I151">
        <f ca="1"/>
        <v>9.4500000000000001E-2</v>
      </c>
      <c r="J151">
        <f ca="1"/>
        <v>18.299790000000002</v>
      </c>
    </row>
    <row r="152" spans="1:10" x14ac:dyDescent="0.25">
      <c r="A152" t="str">
        <v>1982-07-31</v>
      </c>
      <c r="B152">
        <f t="shared" ca="1" si="8"/>
        <v>46.310855484102568</v>
      </c>
      <c r="C152">
        <f ca="1"/>
        <v>97.5</v>
      </c>
      <c r="D152">
        <f ca="1"/>
        <v>0.13950000000000001</v>
      </c>
      <c r="E152">
        <f t="shared" ca="1" si="9"/>
        <v>1.1625000000000002E-2</v>
      </c>
      <c r="F152">
        <f ca="1"/>
        <v>13.966699999999999</v>
      </c>
      <c r="G152">
        <f t="shared" ca="1" si="11"/>
        <v>5.1546391752577136E-3</v>
      </c>
      <c r="H152">
        <f t="shared" ca="1" si="10"/>
        <v>6.470360824742288E-3</v>
      </c>
      <c r="I152">
        <f ca="1"/>
        <v>9.9299999999999999E-2</v>
      </c>
      <c r="J152">
        <f ca="1"/>
        <v>18.241579999999999</v>
      </c>
    </row>
    <row r="153" spans="1:10" x14ac:dyDescent="0.25">
      <c r="A153" t="str">
        <v>1982-08-31</v>
      </c>
      <c r="B153">
        <f t="shared" ca="1" si="8"/>
        <v>45.542999184237452</v>
      </c>
      <c r="C153">
        <f ca="1"/>
        <v>97.7</v>
      </c>
      <c r="D153">
        <f ca="1"/>
        <v>0.13059999999999999</v>
      </c>
      <c r="E153">
        <f t="shared" ca="1" si="9"/>
        <v>1.0883333333333333E-2</v>
      </c>
      <c r="F153">
        <f ca="1"/>
        <v>13.763299999999999</v>
      </c>
      <c r="G153">
        <f t="shared" ca="1" si="11"/>
        <v>2.0512820512821328E-3</v>
      </c>
      <c r="H153">
        <f t="shared" ca="1" si="10"/>
        <v>8.8320512820512006E-3</v>
      </c>
      <c r="I153">
        <f ca="1"/>
        <v>0.108</v>
      </c>
      <c r="J153">
        <f ca="1"/>
        <v>18.239830000000001</v>
      </c>
    </row>
    <row r="154" spans="1:10" x14ac:dyDescent="0.25">
      <c r="A154" t="str">
        <v>1982-09-30</v>
      </c>
      <c r="B154">
        <f t="shared" ca="1" si="8"/>
        <v>44.870275946775841</v>
      </c>
      <c r="C154">
        <f ca="1"/>
        <v>97.7</v>
      </c>
      <c r="D154">
        <f ca="1"/>
        <v>0.1234</v>
      </c>
      <c r="E154">
        <f t="shared" ca="1" si="9"/>
        <v>1.0283333333333334E-2</v>
      </c>
      <c r="F154">
        <f ca="1"/>
        <v>13.56</v>
      </c>
      <c r="G154">
        <f t="shared" ca="1" si="11"/>
        <v>0</v>
      </c>
      <c r="H154">
        <f t="shared" ca="1" si="10"/>
        <v>1.0283333333333334E-2</v>
      </c>
      <c r="I154">
        <f ca="1"/>
        <v>9.98E-2</v>
      </c>
      <c r="J154">
        <f ca="1"/>
        <v>18.238060000000001</v>
      </c>
    </row>
    <row r="155" spans="1:10" x14ac:dyDescent="0.25">
      <c r="A155" t="str">
        <v>1982-10-31</v>
      </c>
      <c r="B155">
        <f t="shared" ca="1" si="8"/>
        <v>43.676581144750259</v>
      </c>
      <c r="C155">
        <f ca="1"/>
        <v>98.1</v>
      </c>
      <c r="D155">
        <f ca="1"/>
        <v>0.1091</v>
      </c>
      <c r="E155">
        <f t="shared" ca="1" si="9"/>
        <v>9.0916666666666663E-3</v>
      </c>
      <c r="F155">
        <f ca="1"/>
        <v>13.253299999999999</v>
      </c>
      <c r="G155">
        <f t="shared" ca="1" si="11"/>
        <v>4.0941658137154668E-3</v>
      </c>
      <c r="H155">
        <f t="shared" ca="1" si="10"/>
        <v>4.9975008529511995E-3</v>
      </c>
      <c r="I155">
        <f ca="1"/>
        <v>0.1038</v>
      </c>
      <c r="J155">
        <f ca="1"/>
        <v>18.200040000000001</v>
      </c>
    </row>
    <row r="156" spans="1:10" x14ac:dyDescent="0.25">
      <c r="A156" t="str">
        <v>1982-11-30</v>
      </c>
      <c r="B156">
        <f t="shared" ca="1" si="8"/>
        <v>42.709710098979585</v>
      </c>
      <c r="C156">
        <f ca="1"/>
        <v>98</v>
      </c>
      <c r="D156">
        <f ca="1"/>
        <v>0.1055</v>
      </c>
      <c r="E156">
        <f t="shared" ca="1" si="9"/>
        <v>8.7916666666666664E-3</v>
      </c>
      <c r="F156">
        <f ca="1"/>
        <v>12.9467</v>
      </c>
      <c r="G156">
        <f t="shared" ca="1" si="11"/>
        <v>-1.0193679918449883E-3</v>
      </c>
      <c r="H156">
        <f t="shared" ca="1" si="10"/>
        <v>9.8110346585116547E-3</v>
      </c>
      <c r="I156">
        <f ca="1"/>
        <v>0.1017</v>
      </c>
      <c r="J156">
        <f ca="1"/>
        <v>18.254899999999999</v>
      </c>
    </row>
    <row r="157" spans="1:10" x14ac:dyDescent="0.25">
      <c r="A157" t="str">
        <v>1982-12-31</v>
      </c>
      <c r="B157">
        <f t="shared" ca="1" si="8"/>
        <v>41.825979938587508</v>
      </c>
      <c r="C157">
        <f ca="1"/>
        <v>97.7</v>
      </c>
      <c r="D157">
        <f ca="1"/>
        <v>0.10539999999999999</v>
      </c>
      <c r="E157">
        <f t="shared" ca="1" si="9"/>
        <v>8.7833333333333322E-3</v>
      </c>
      <c r="F157">
        <f ca="1"/>
        <v>12.64</v>
      </c>
      <c r="G157">
        <f t="shared" ca="1" si="11"/>
        <v>-3.0612244897958441E-3</v>
      </c>
      <c r="H157">
        <f t="shared" ca="1" si="10"/>
        <v>1.1844557823129176E-2</v>
      </c>
      <c r="I157">
        <f ca="1"/>
        <v>9.9400000000000002E-2</v>
      </c>
      <c r="J157">
        <f ca="1"/>
        <v>18.347529999999999</v>
      </c>
    </row>
    <row r="158" spans="1:10" x14ac:dyDescent="0.25">
      <c r="A158" t="str">
        <v>1983-01-31</v>
      </c>
      <c r="B158">
        <f t="shared" ca="1" si="8"/>
        <v>41.498478137895809</v>
      </c>
      <c r="C158">
        <f ca="1"/>
        <v>97.9</v>
      </c>
      <c r="D158">
        <f ca="1"/>
        <v>0.1046</v>
      </c>
      <c r="E158">
        <f t="shared" ca="1" si="9"/>
        <v>8.716666666666666E-3</v>
      </c>
      <c r="F158">
        <f ca="1"/>
        <v>12.566700000000001</v>
      </c>
      <c r="G158">
        <f t="shared" ca="1" si="11"/>
        <v>2.0470829068577334E-3</v>
      </c>
      <c r="H158">
        <f t="shared" ca="1" si="10"/>
        <v>6.6695837598089325E-3</v>
      </c>
      <c r="I158">
        <f ca="1"/>
        <v>9.6299999999999997E-2</v>
      </c>
      <c r="J158">
        <f ca="1"/>
        <v>18.34553</v>
      </c>
    </row>
    <row r="159" spans="1:10" x14ac:dyDescent="0.25">
      <c r="A159" t="str">
        <v>1983-02-28</v>
      </c>
      <c r="B159">
        <f t="shared" ca="1" si="8"/>
        <v>41.213994390816325</v>
      </c>
      <c r="C159">
        <f ca="1"/>
        <v>98</v>
      </c>
      <c r="D159">
        <f ca="1"/>
        <v>0.1072</v>
      </c>
      <c r="E159">
        <f t="shared" ca="1" si="9"/>
        <v>8.9333333333333331E-3</v>
      </c>
      <c r="F159">
        <f ca="1"/>
        <v>12.4933</v>
      </c>
      <c r="G159">
        <f t="shared" ca="1" si="11"/>
        <v>1.0214504596526286E-3</v>
      </c>
      <c r="H159">
        <f t="shared" ca="1" si="10"/>
        <v>7.9118828736807045E-3</v>
      </c>
      <c r="I159">
        <f ca="1"/>
        <v>9.0999999999999998E-2</v>
      </c>
      <c r="J159">
        <f ca="1"/>
        <v>18.362310000000001</v>
      </c>
    </row>
    <row r="160" spans="1:10" x14ac:dyDescent="0.25">
      <c r="A160" t="str">
        <v>1983-03-31</v>
      </c>
      <c r="B160">
        <f t="shared" ca="1" si="8"/>
        <v>40.930420183486241</v>
      </c>
      <c r="C160">
        <f ca="1"/>
        <v>98.1</v>
      </c>
      <c r="D160">
        <f ca="1"/>
        <v>0.1051</v>
      </c>
      <c r="E160">
        <f t="shared" ca="1" si="9"/>
        <v>8.7583333333333332E-3</v>
      </c>
      <c r="F160">
        <f ca="1"/>
        <v>12.42</v>
      </c>
      <c r="G160">
        <f t="shared" ca="1" si="11"/>
        <v>1.0204081632652073E-3</v>
      </c>
      <c r="H160">
        <f t="shared" ca="1" si="10"/>
        <v>7.7379251700681259E-3</v>
      </c>
      <c r="I160">
        <f ca="1"/>
        <v>8.8200000000000001E-2</v>
      </c>
      <c r="J160">
        <f ca="1"/>
        <v>18.3978</v>
      </c>
    </row>
    <row r="161" spans="1:10" x14ac:dyDescent="0.25">
      <c r="A161" t="str">
        <v>1983-04-30</v>
      </c>
      <c r="B161">
        <f t="shared" ca="1" si="8"/>
        <v>40.825959713562753</v>
      </c>
      <c r="C161">
        <f ca="1"/>
        <v>98.8</v>
      </c>
      <c r="D161">
        <f ca="1"/>
        <v>0.104</v>
      </c>
      <c r="E161">
        <f t="shared" ca="1" si="9"/>
        <v>8.6666666666666663E-3</v>
      </c>
      <c r="F161">
        <f ca="1"/>
        <v>12.476699999999999</v>
      </c>
      <c r="G161">
        <f t="shared" ca="1" si="11"/>
        <v>7.135575942915473E-3</v>
      </c>
      <c r="H161">
        <f t="shared" ca="1" si="10"/>
        <v>1.5310907237511932E-3</v>
      </c>
      <c r="I161">
        <f ca="1"/>
        <v>8.5900000000000004E-2</v>
      </c>
      <c r="J161">
        <f ca="1"/>
        <v>18.29363</v>
      </c>
    </row>
    <row r="162" spans="1:10" x14ac:dyDescent="0.25">
      <c r="A162" t="str">
        <v>1983-05-31</v>
      </c>
      <c r="B162">
        <f t="shared" ca="1" si="8"/>
        <v>40.84579728125</v>
      </c>
      <c r="C162">
        <f ca="1"/>
        <v>99.2</v>
      </c>
      <c r="D162">
        <f ca="1"/>
        <v>0.1038</v>
      </c>
      <c r="E162">
        <f t="shared" ca="1" si="9"/>
        <v>8.6499999999999997E-3</v>
      </c>
      <c r="F162">
        <f ca="1"/>
        <v>12.533300000000001</v>
      </c>
      <c r="G162">
        <f t="shared" ca="1" si="11"/>
        <v>4.0485829959515662E-3</v>
      </c>
      <c r="H162">
        <f t="shared" ca="1" si="10"/>
        <v>4.6014170040484335E-3</v>
      </c>
      <c r="I162">
        <f ca="1"/>
        <v>8.2400000000000001E-2</v>
      </c>
      <c r="J162">
        <f ca="1"/>
        <v>18.20926</v>
      </c>
    </row>
    <row r="163" spans="1:10" x14ac:dyDescent="0.25">
      <c r="A163" t="str">
        <v>1983-06-30</v>
      </c>
      <c r="B163">
        <f t="shared" ca="1" si="8"/>
        <v>40.948025050301808</v>
      </c>
      <c r="C163">
        <f ca="1"/>
        <v>99.4</v>
      </c>
      <c r="D163">
        <f ca="1"/>
        <v>0.1085</v>
      </c>
      <c r="E163">
        <f t="shared" ca="1" si="9"/>
        <v>9.0416666666666666E-3</v>
      </c>
      <c r="F163">
        <f ca="1"/>
        <v>12.59</v>
      </c>
      <c r="G163">
        <f t="shared" ca="1" si="11"/>
        <v>2.0161290322580072E-3</v>
      </c>
      <c r="H163">
        <f t="shared" ca="1" si="10"/>
        <v>7.0255376344086594E-3</v>
      </c>
      <c r="I163">
        <f ca="1"/>
        <v>7.5999999999999998E-2</v>
      </c>
      <c r="J163">
        <f ca="1"/>
        <v>18.18055</v>
      </c>
    </row>
    <row r="164" spans="1:10" x14ac:dyDescent="0.25">
      <c r="A164" t="str">
        <v>1983-07-31</v>
      </c>
      <c r="B164">
        <f t="shared" ca="1" si="8"/>
        <v>41.550668033066138</v>
      </c>
      <c r="C164">
        <f ca="1"/>
        <v>99.8</v>
      </c>
      <c r="D164">
        <f ca="1"/>
        <v>0.1138</v>
      </c>
      <c r="E164">
        <f t="shared" ca="1" si="9"/>
        <v>9.4833333333333332E-3</v>
      </c>
      <c r="F164">
        <f ca="1"/>
        <v>12.826700000000001</v>
      </c>
      <c r="G164">
        <f t="shared" ca="1" si="11"/>
        <v>4.0241448692150961E-3</v>
      </c>
      <c r="H164">
        <f t="shared" ca="1" si="10"/>
        <v>5.4591884641182371E-3</v>
      </c>
      <c r="I164">
        <f ca="1"/>
        <v>7.0800000000000002E-2</v>
      </c>
      <c r="J164">
        <f ca="1"/>
        <v>18.159939999999999</v>
      </c>
    </row>
    <row r="165" spans="1:10" x14ac:dyDescent="0.25">
      <c r="A165" t="str">
        <v>1983-08-31</v>
      </c>
      <c r="B165">
        <f t="shared" ca="1" si="8"/>
        <v>42.190282920079923</v>
      </c>
      <c r="C165">
        <f ca="1"/>
        <v>100.1</v>
      </c>
      <c r="D165">
        <f ca="1"/>
        <v>0.11849999999999999</v>
      </c>
      <c r="E165">
        <f t="shared" ca="1" si="9"/>
        <v>9.8750000000000001E-3</v>
      </c>
      <c r="F165">
        <f ca="1"/>
        <v>13.0633</v>
      </c>
      <c r="G165">
        <f t="shared" ca="1" si="11"/>
        <v>3.0060120240480437E-3</v>
      </c>
      <c r="H165">
        <f t="shared" ca="1" si="10"/>
        <v>6.8689879759519564E-3</v>
      </c>
      <c r="I165">
        <f ca="1"/>
        <v>6.7400000000000002E-2</v>
      </c>
      <c r="J165">
        <f ca="1"/>
        <v>18.157599999999999</v>
      </c>
    </row>
    <row r="166" spans="1:10" x14ac:dyDescent="0.25">
      <c r="A166" t="str">
        <v>1983-09-30</v>
      </c>
      <c r="B166">
        <f t="shared" ca="1" si="8"/>
        <v>42.826397410358567</v>
      </c>
      <c r="C166">
        <f ca="1"/>
        <v>100.4</v>
      </c>
      <c r="D166">
        <f ca="1"/>
        <v>0.11650000000000001</v>
      </c>
      <c r="E166">
        <f t="shared" ca="1" si="9"/>
        <v>9.7083333333333344E-3</v>
      </c>
      <c r="F166">
        <f ca="1"/>
        <v>13.3</v>
      </c>
      <c r="G166">
        <f t="shared" ca="1" si="11"/>
        <v>2.9970029970030065E-3</v>
      </c>
      <c r="H166">
        <f t="shared" ca="1" si="10"/>
        <v>6.7113303363303279E-3</v>
      </c>
      <c r="I166">
        <f ca="1"/>
        <v>6.7100000000000007E-2</v>
      </c>
      <c r="J166">
        <f ca="1"/>
        <v>18.119209999999999</v>
      </c>
    </row>
    <row r="167" spans="1:10" x14ac:dyDescent="0.25">
      <c r="A167" t="str">
        <v>1983-10-31</v>
      </c>
      <c r="B167">
        <f t="shared" ca="1" si="8"/>
        <v>43.436775796626989</v>
      </c>
      <c r="C167">
        <f ca="1"/>
        <v>100.8</v>
      </c>
      <c r="D167">
        <f ca="1"/>
        <v>0.1154</v>
      </c>
      <c r="E167">
        <f t="shared" ca="1" si="9"/>
        <v>9.6166666666666675E-3</v>
      </c>
      <c r="F167">
        <f ca="1"/>
        <v>13.5433</v>
      </c>
      <c r="G167">
        <f t="shared" ca="1" si="11"/>
        <v>3.9840637450199168E-3</v>
      </c>
      <c r="H167">
        <f t="shared" ca="1" si="10"/>
        <v>5.6326029216467507E-3</v>
      </c>
      <c r="I167">
        <f ca="1"/>
        <v>6.7299999999999999E-2</v>
      </c>
      <c r="J167">
        <f ca="1"/>
        <v>18.142810000000001</v>
      </c>
    </row>
    <row r="168" spans="1:10" x14ac:dyDescent="0.25">
      <c r="A168" t="str">
        <v>1983-11-30</v>
      </c>
      <c r="B168">
        <f t="shared" ca="1" si="8"/>
        <v>44.086211965380812</v>
      </c>
      <c r="C168">
        <f ca="1"/>
        <v>101.1</v>
      </c>
      <c r="D168">
        <f ca="1"/>
        <v>0.1169</v>
      </c>
      <c r="E168">
        <f t="shared" ca="1" si="9"/>
        <v>9.7416666666666676E-3</v>
      </c>
      <c r="F168">
        <f ca="1"/>
        <v>13.7867</v>
      </c>
      <c r="G168">
        <f t="shared" ca="1" si="11"/>
        <v>2.9761904761904656E-3</v>
      </c>
      <c r="H168">
        <f t="shared" ca="1" si="10"/>
        <v>6.765476190476202E-3</v>
      </c>
      <c r="I168">
        <f ca="1"/>
        <v>6.6900000000000001E-2</v>
      </c>
      <c r="J168">
        <f ca="1"/>
        <v>18.184229999999999</v>
      </c>
    </row>
    <row r="169" spans="1:10" x14ac:dyDescent="0.25">
      <c r="A169" t="str">
        <v>1983-12-31</v>
      </c>
      <c r="B169">
        <f t="shared" ca="1" si="8"/>
        <v>44.73148648915187</v>
      </c>
      <c r="C169">
        <f ca="1"/>
        <v>101.4</v>
      </c>
      <c r="D169">
        <f ca="1"/>
        <v>0.1183</v>
      </c>
      <c r="E169">
        <f t="shared" ca="1" si="9"/>
        <v>9.8583333333333335E-3</v>
      </c>
      <c r="F169">
        <f ca="1"/>
        <v>14.03</v>
      </c>
      <c r="G169">
        <f t="shared" ca="1" si="11"/>
        <v>2.9673590504453173E-3</v>
      </c>
      <c r="H169">
        <f t="shared" ca="1" si="10"/>
        <v>6.8909742828880162E-3</v>
      </c>
      <c r="I169">
        <f ca="1"/>
        <v>6.5299999999999997E-2</v>
      </c>
      <c r="J169">
        <f ca="1"/>
        <v>18.243469999999999</v>
      </c>
    </row>
    <row r="170" spans="1:10" x14ac:dyDescent="0.25">
      <c r="A170" t="str">
        <v>1984-01-31</v>
      </c>
      <c r="B170">
        <f t="shared" ca="1" si="8"/>
        <v>45.723036630754166</v>
      </c>
      <c r="C170">
        <f ca="1"/>
        <v>102.1</v>
      </c>
      <c r="D170">
        <f ca="1"/>
        <v>0.1167</v>
      </c>
      <c r="E170">
        <f t="shared" ca="1" si="9"/>
        <v>9.7249999999999993E-3</v>
      </c>
      <c r="F170">
        <f ca="1"/>
        <v>14.44</v>
      </c>
      <c r="G170">
        <f t="shared" ca="1" si="11"/>
        <v>6.9033530571991353E-3</v>
      </c>
      <c r="H170">
        <f t="shared" ca="1" si="10"/>
        <v>2.821646942800864E-3</v>
      </c>
      <c r="I170">
        <f ca="1"/>
        <v>6.5699999999999995E-2</v>
      </c>
      <c r="J170">
        <f ca="1"/>
        <v>18.212789999999998</v>
      </c>
    </row>
    <row r="171" spans="1:10" x14ac:dyDescent="0.25">
      <c r="A171" t="str">
        <v>1984-02-29</v>
      </c>
      <c r="B171">
        <f t="shared" ca="1" si="8"/>
        <v>46.792118421052628</v>
      </c>
      <c r="C171">
        <f ca="1"/>
        <v>102.6</v>
      </c>
      <c r="D171">
        <f ca="1"/>
        <v>0.11840000000000001</v>
      </c>
      <c r="E171">
        <f t="shared" ca="1" si="9"/>
        <v>9.8666666666666677E-3</v>
      </c>
      <c r="F171">
        <f ca="1"/>
        <v>14.85</v>
      </c>
      <c r="G171">
        <f t="shared" ca="1" si="11"/>
        <v>4.8971596474045587E-3</v>
      </c>
      <c r="H171">
        <f t="shared" ca="1" si="10"/>
        <v>4.969507019262109E-3</v>
      </c>
      <c r="I171">
        <f ca="1"/>
        <v>6.9400000000000003E-2</v>
      </c>
      <c r="J171">
        <f ca="1"/>
        <v>18.200220000000002</v>
      </c>
    </row>
    <row r="172" spans="1:10" x14ac:dyDescent="0.25">
      <c r="A172" t="str">
        <v>1984-03-31</v>
      </c>
      <c r="B172">
        <f t="shared" ca="1" si="8"/>
        <v>47.943835374149657</v>
      </c>
      <c r="C172">
        <f ca="1"/>
        <v>102.9</v>
      </c>
      <c r="D172">
        <f ca="1"/>
        <v>0.1232</v>
      </c>
      <c r="E172">
        <f t="shared" ca="1" si="9"/>
        <v>1.0266666666666667E-2</v>
      </c>
      <c r="F172">
        <f ca="1"/>
        <v>15.26</v>
      </c>
      <c r="G172">
        <f t="shared" ca="1" si="11"/>
        <v>2.9239766081872176E-3</v>
      </c>
      <c r="H172">
        <f t="shared" ca="1" si="10"/>
        <v>7.3426900584794494E-3</v>
      </c>
      <c r="I172">
        <f ca="1"/>
        <v>6.3399999999999998E-2</v>
      </c>
      <c r="J172">
        <f ca="1"/>
        <v>18.240960000000001</v>
      </c>
    </row>
    <row r="173" spans="1:10" x14ac:dyDescent="0.25">
      <c r="A173" t="str">
        <v>1984-04-30</v>
      </c>
      <c r="B173">
        <f t="shared" ca="1" si="8"/>
        <v>48.738700196515005</v>
      </c>
      <c r="C173">
        <f ca="1"/>
        <v>103.3</v>
      </c>
      <c r="D173">
        <f ca="1"/>
        <v>0.1263</v>
      </c>
      <c r="E173">
        <f t="shared" ca="1" si="9"/>
        <v>1.0525E-2</v>
      </c>
      <c r="F173">
        <f ca="1"/>
        <v>15.5733</v>
      </c>
      <c r="G173">
        <f t="shared" ca="1" si="11"/>
        <v>3.8872691933915515E-3</v>
      </c>
      <c r="H173">
        <f t="shared" ca="1" si="10"/>
        <v>6.6377308066084481E-3</v>
      </c>
      <c r="I173">
        <f ca="1"/>
        <v>6.0600000000000001E-2</v>
      </c>
      <c r="J173">
        <f ca="1"/>
        <v>18.262049999999999</v>
      </c>
    </row>
    <row r="174" spans="1:10" x14ac:dyDescent="0.25">
      <c r="A174" t="str">
        <v>1984-05-31</v>
      </c>
      <c r="B174">
        <f t="shared" ca="1" si="8"/>
        <v>49.623450528502417</v>
      </c>
      <c r="C174">
        <f ca="1"/>
        <v>103.5</v>
      </c>
      <c r="D174">
        <f ca="1"/>
        <v>0.1341</v>
      </c>
      <c r="E174">
        <f t="shared" ca="1" si="9"/>
        <v>1.1174999999999999E-2</v>
      </c>
      <c r="F174">
        <f ca="1"/>
        <v>15.886699999999999</v>
      </c>
      <c r="G174">
        <f t="shared" ca="1" si="11"/>
        <v>1.9361084220717029E-3</v>
      </c>
      <c r="H174">
        <f t="shared" ca="1" si="10"/>
        <v>9.2388915779282963E-3</v>
      </c>
      <c r="I174">
        <f ca="1"/>
        <v>5.2600000000000001E-2</v>
      </c>
      <c r="J174">
        <f ca="1"/>
        <v>18.31832</v>
      </c>
    </row>
    <row r="175" spans="1:10" x14ac:dyDescent="0.25">
      <c r="A175" t="str">
        <v>1984-06-30</v>
      </c>
      <c r="B175">
        <f t="shared" ca="1" si="8"/>
        <v>50.504476374156219</v>
      </c>
      <c r="C175">
        <f ca="1"/>
        <v>103.7</v>
      </c>
      <c r="D175">
        <f ca="1"/>
        <v>0.1356</v>
      </c>
      <c r="E175">
        <f t="shared" ca="1" si="9"/>
        <v>1.1299999999999999E-2</v>
      </c>
      <c r="F175">
        <f ca="1"/>
        <v>16.2</v>
      </c>
      <c r="G175">
        <f t="shared" ca="1" si="11"/>
        <v>1.9323671497584183E-3</v>
      </c>
      <c r="H175">
        <f t="shared" ca="1" si="10"/>
        <v>9.367632850241581E-3</v>
      </c>
      <c r="I175">
        <f ca="1"/>
        <v>5.3199999999999997E-2</v>
      </c>
      <c r="J175">
        <f ca="1"/>
        <v>18.374230000000001</v>
      </c>
    </row>
    <row r="176" spans="1:10" x14ac:dyDescent="0.25">
      <c r="A176" t="str">
        <v>1984-07-31</v>
      </c>
      <c r="B176">
        <f t="shared" ca="1" si="8"/>
        <v>50.683084726224784</v>
      </c>
      <c r="C176">
        <f ca="1"/>
        <v>104.1</v>
      </c>
      <c r="D176">
        <f ca="1"/>
        <v>0.1336</v>
      </c>
      <c r="E176">
        <f t="shared" ca="1" si="9"/>
        <v>1.1133333333333334E-2</v>
      </c>
      <c r="F176">
        <f ca="1"/>
        <v>16.32</v>
      </c>
      <c r="G176">
        <f t="shared" ca="1" si="11"/>
        <v>3.8572806171648377E-3</v>
      </c>
      <c r="H176">
        <f t="shared" ca="1" si="10"/>
        <v>7.2760527161684959E-3</v>
      </c>
      <c r="I176">
        <f ca="1"/>
        <v>5.6500000000000002E-2</v>
      </c>
      <c r="J176">
        <f ca="1"/>
        <v>18.36205</v>
      </c>
    </row>
    <row r="177" spans="1:10" x14ac:dyDescent="0.25">
      <c r="A177" t="str">
        <v>1984-08-31</v>
      </c>
      <c r="B177">
        <f t="shared" ca="1" si="8"/>
        <v>50.909042528735633</v>
      </c>
      <c r="C177">
        <f ca="1"/>
        <v>104.4</v>
      </c>
      <c r="D177">
        <f ca="1"/>
        <v>0.12720000000000001</v>
      </c>
      <c r="E177">
        <f t="shared" ca="1" si="9"/>
        <v>1.06E-2</v>
      </c>
      <c r="F177">
        <f ca="1"/>
        <v>16.440000000000001</v>
      </c>
      <c r="G177">
        <f t="shared" ca="1" si="11"/>
        <v>2.8818443804035088E-3</v>
      </c>
      <c r="H177">
        <f t="shared" ca="1" si="10"/>
        <v>7.7181556195964913E-3</v>
      </c>
      <c r="I177">
        <f ca="1"/>
        <v>5.3199999999999997E-2</v>
      </c>
      <c r="J177">
        <f ca="1"/>
        <v>18.349979999999999</v>
      </c>
    </row>
    <row r="178" spans="1:10" x14ac:dyDescent="0.25">
      <c r="A178" t="str">
        <v>1984-09-30</v>
      </c>
      <c r="B178">
        <f t="shared" ca="1" si="8"/>
        <v>51.133705444126072</v>
      </c>
      <c r="C178">
        <f ca="1"/>
        <v>104.7</v>
      </c>
      <c r="D178">
        <f ca="1"/>
        <v>0.12520000000000001</v>
      </c>
      <c r="E178">
        <f t="shared" ca="1" si="9"/>
        <v>1.0433333333333334E-2</v>
      </c>
      <c r="F178">
        <f ca="1"/>
        <v>16.559999999999999</v>
      </c>
      <c r="G178">
        <f t="shared" ca="1" si="11"/>
        <v>2.8735632183907178E-3</v>
      </c>
      <c r="H178">
        <f t="shared" ca="1" si="10"/>
        <v>7.5597701149426166E-3</v>
      </c>
      <c r="I178">
        <f ca="1"/>
        <v>5.3800000000000001E-2</v>
      </c>
      <c r="J178">
        <f ca="1"/>
        <v>18.320519999999998</v>
      </c>
    </row>
    <row r="179" spans="1:10" x14ac:dyDescent="0.25">
      <c r="A179" t="str">
        <v>1984-10-31</v>
      </c>
      <c r="B179">
        <f t="shared" ca="1" si="8"/>
        <v>51.021225782112282</v>
      </c>
      <c r="C179">
        <f ca="1"/>
        <v>105.1</v>
      </c>
      <c r="D179">
        <f ca="1"/>
        <v>0.1216</v>
      </c>
      <c r="E179">
        <f t="shared" ca="1" si="9"/>
        <v>1.0133333333333333E-2</v>
      </c>
      <c r="F179">
        <f ca="1"/>
        <v>16.5867</v>
      </c>
      <c r="G179">
        <f t="shared" ca="1" si="11"/>
        <v>3.8204393505252288E-3</v>
      </c>
      <c r="H179">
        <f t="shared" ca="1" si="10"/>
        <v>6.312893982808104E-3</v>
      </c>
      <c r="I179">
        <f ca="1"/>
        <v>5.7599999999999998E-2</v>
      </c>
      <c r="J179">
        <f ca="1"/>
        <v>18.39209</v>
      </c>
    </row>
    <row r="180" spans="1:10" x14ac:dyDescent="0.25">
      <c r="A180" t="str">
        <v>1984-11-30</v>
      </c>
      <c r="B180">
        <f t="shared" ca="1" si="8"/>
        <v>51.005986422602085</v>
      </c>
      <c r="C180">
        <f ca="1"/>
        <v>105.3</v>
      </c>
      <c r="D180">
        <f ca="1"/>
        <v>0.1157</v>
      </c>
      <c r="E180">
        <f t="shared" ca="1" si="9"/>
        <v>9.6416666666666664E-3</v>
      </c>
      <c r="F180">
        <f ca="1"/>
        <v>16.613299999999999</v>
      </c>
      <c r="G180">
        <f t="shared" ca="1" si="11"/>
        <v>1.9029495718363432E-3</v>
      </c>
      <c r="H180">
        <f t="shared" ca="1" si="10"/>
        <v>7.7387170948303233E-3</v>
      </c>
      <c r="I180">
        <f ca="1"/>
        <v>6.1600000000000002E-2</v>
      </c>
      <c r="J180">
        <f ca="1"/>
        <v>18.51586</v>
      </c>
    </row>
    <row r="181" spans="1:10" x14ac:dyDescent="0.25">
      <c r="A181" t="str">
        <v>1984-12-31</v>
      </c>
      <c r="B181">
        <f t="shared" ca="1" si="8"/>
        <v>50.991111279620853</v>
      </c>
      <c r="C181">
        <f ca="1"/>
        <v>105.5</v>
      </c>
      <c r="D181">
        <f ca="1"/>
        <v>0.115</v>
      </c>
      <c r="E181">
        <f t="shared" ca="1" si="9"/>
        <v>9.5833333333333343E-3</v>
      </c>
      <c r="F181">
        <f ca="1"/>
        <v>16.64</v>
      </c>
      <c r="G181">
        <f t="shared" ca="1" si="11"/>
        <v>1.8993352326686086E-3</v>
      </c>
      <c r="H181">
        <f t="shared" ca="1" si="10"/>
        <v>7.6839981006647257E-3</v>
      </c>
      <c r="I181">
        <f ca="1"/>
        <v>6.25E-2</v>
      </c>
      <c r="J181">
        <f ca="1"/>
        <v>18.63963</v>
      </c>
    </row>
    <row r="182" spans="1:10" x14ac:dyDescent="0.25">
      <c r="A182" t="str">
        <v>1985-01-31</v>
      </c>
      <c r="B182">
        <f t="shared" ca="1" si="8"/>
        <v>50.639849571428563</v>
      </c>
      <c r="C182">
        <f ca="1"/>
        <v>105.7</v>
      </c>
      <c r="D182">
        <f ca="1"/>
        <v>0.1138</v>
      </c>
      <c r="E182">
        <f t="shared" ca="1" si="9"/>
        <v>9.4833333333333332E-3</v>
      </c>
      <c r="F182">
        <f ca="1"/>
        <v>16.556699999999999</v>
      </c>
      <c r="G182">
        <f t="shared" ca="1" si="11"/>
        <v>1.8957345971564177E-3</v>
      </c>
      <c r="H182">
        <f t="shared" ca="1" si="10"/>
        <v>7.5875987361769155E-3</v>
      </c>
      <c r="I182">
        <f ca="1"/>
        <v>5.9299999999999999E-2</v>
      </c>
      <c r="J182">
        <f ca="1"/>
        <v>18.711349999999999</v>
      </c>
    </row>
    <row r="183" spans="1:10" x14ac:dyDescent="0.25">
      <c r="A183" t="str">
        <v>1985-02-28</v>
      </c>
      <c r="B183">
        <f t="shared" ca="1" si="8"/>
        <v>50.100372815616176</v>
      </c>
      <c r="C183">
        <f ca="1"/>
        <v>106.3</v>
      </c>
      <c r="D183">
        <f ca="1"/>
        <v>0.11509999999999999</v>
      </c>
      <c r="E183">
        <f t="shared" ca="1" si="9"/>
        <v>9.5916666666666667E-3</v>
      </c>
      <c r="F183">
        <f ca="1"/>
        <v>16.473299999999998</v>
      </c>
      <c r="G183">
        <f t="shared" ca="1" si="11"/>
        <v>5.6764427625353164E-3</v>
      </c>
      <c r="H183">
        <f t="shared" ca="1" si="10"/>
        <v>3.9152239041313503E-3</v>
      </c>
      <c r="I183">
        <f ca="1"/>
        <v>5.2999999999999999E-2</v>
      </c>
      <c r="J183">
        <f ca="1"/>
        <v>18.729659999999999</v>
      </c>
    </row>
    <row r="184" spans="1:10" x14ac:dyDescent="0.25">
      <c r="A184" t="str">
        <v>1985-03-31</v>
      </c>
      <c r="B184">
        <f t="shared" ca="1" si="8"/>
        <v>49.61366563670412</v>
      </c>
      <c r="C184">
        <f ca="1"/>
        <v>106.8</v>
      </c>
      <c r="D184">
        <f ca="1"/>
        <v>0.1186</v>
      </c>
      <c r="E184">
        <f t="shared" ca="1" si="9"/>
        <v>9.8833333333333325E-3</v>
      </c>
      <c r="F184">
        <f ca="1"/>
        <v>16.39</v>
      </c>
      <c r="G184">
        <f t="shared" ca="1" si="11"/>
        <v>4.7036688617121403E-3</v>
      </c>
      <c r="H184">
        <f t="shared" ca="1" si="10"/>
        <v>5.1796644716211922E-3</v>
      </c>
      <c r="I184">
        <f ca="1"/>
        <v>5.0599999999999999E-2</v>
      </c>
      <c r="J184">
        <f ca="1"/>
        <v>18.7654</v>
      </c>
    </row>
    <row r="185" spans="1:10" x14ac:dyDescent="0.25">
      <c r="A185" t="str">
        <v>1985-04-30</v>
      </c>
      <c r="B185">
        <f t="shared" ca="1" si="8"/>
        <v>48.735362897196261</v>
      </c>
      <c r="C185">
        <f ca="1"/>
        <v>107</v>
      </c>
      <c r="D185">
        <f ca="1"/>
        <v>0.1143</v>
      </c>
      <c r="E185">
        <f t="shared" ca="1" si="9"/>
        <v>9.5250000000000005E-3</v>
      </c>
      <c r="F185">
        <f ca="1"/>
        <v>16.13</v>
      </c>
      <c r="G185">
        <f t="shared" ca="1" si="11"/>
        <v>1.8726591760300781E-3</v>
      </c>
      <c r="H185">
        <f t="shared" ca="1" si="10"/>
        <v>7.6523408239699223E-3</v>
      </c>
      <c r="I185">
        <f ca="1"/>
        <v>5.4800000000000001E-2</v>
      </c>
      <c r="J185">
        <f ca="1"/>
        <v>18.742660000000001</v>
      </c>
    </row>
    <row r="186" spans="1:10" x14ac:dyDescent="0.25">
      <c r="A186" t="str">
        <v>1985-05-31</v>
      </c>
      <c r="B186">
        <f t="shared" ca="1" si="8"/>
        <v>47.860337406716418</v>
      </c>
      <c r="C186">
        <f ca="1"/>
        <v>107.2</v>
      </c>
      <c r="D186">
        <f ca="1"/>
        <v>0.1085</v>
      </c>
      <c r="E186">
        <f t="shared" ca="1" si="9"/>
        <v>9.0416666666666666E-3</v>
      </c>
      <c r="F186">
        <f ca="1"/>
        <v>15.87</v>
      </c>
      <c r="G186">
        <f t="shared" ca="1" si="11"/>
        <v>1.8691588785046953E-3</v>
      </c>
      <c r="H186">
        <f t="shared" ca="1" si="10"/>
        <v>7.1725077881619713E-3</v>
      </c>
      <c r="I186">
        <f ca="1"/>
        <v>5.8400000000000001E-2</v>
      </c>
      <c r="J186">
        <f ca="1"/>
        <v>18.737549999999999</v>
      </c>
    </row>
    <row r="187" spans="1:10" x14ac:dyDescent="0.25">
      <c r="A187" t="str">
        <v>1985-06-30</v>
      </c>
      <c r="B187">
        <f t="shared" ca="1" si="8"/>
        <v>46.944860558139531</v>
      </c>
      <c r="C187">
        <f ca="1"/>
        <v>107.5</v>
      </c>
      <c r="D187">
        <f ca="1"/>
        <v>0.1016</v>
      </c>
      <c r="E187">
        <f t="shared" ca="1" si="9"/>
        <v>8.4666666666666657E-3</v>
      </c>
      <c r="F187">
        <f ca="1"/>
        <v>15.61</v>
      </c>
      <c r="G187">
        <f t="shared" ca="1" si="11"/>
        <v>2.7985074626866169E-3</v>
      </c>
      <c r="H187">
        <f t="shared" ca="1" si="10"/>
        <v>5.6681592039800489E-3</v>
      </c>
      <c r="I187">
        <f ca="1"/>
        <v>6.3100000000000003E-2</v>
      </c>
      <c r="J187">
        <f ca="1"/>
        <v>18.749919999999999</v>
      </c>
    </row>
    <row r="188" spans="1:10" x14ac:dyDescent="0.25">
      <c r="A188" t="str">
        <v>1985-07-31</v>
      </c>
      <c r="B188">
        <f t="shared" ca="1" si="8"/>
        <v>46.477358777158777</v>
      </c>
      <c r="C188">
        <f ca="1"/>
        <v>107.7</v>
      </c>
      <c r="D188">
        <f ca="1"/>
        <v>0.1031</v>
      </c>
      <c r="E188">
        <f t="shared" ca="1" si="9"/>
        <v>8.5916666666666659E-3</v>
      </c>
      <c r="F188">
        <f ca="1"/>
        <v>15.4833</v>
      </c>
      <c r="G188">
        <f t="shared" ca="1" si="11"/>
        <v>1.8604651162790198E-3</v>
      </c>
      <c r="H188">
        <f t="shared" ca="1" si="10"/>
        <v>6.7312015503876461E-3</v>
      </c>
      <c r="I188">
        <f ca="1"/>
        <v>5.8999999999999997E-2</v>
      </c>
      <c r="J188">
        <f ca="1"/>
        <v>18.795719999999999</v>
      </c>
    </row>
    <row r="189" spans="1:10" x14ac:dyDescent="0.25">
      <c r="A189" t="str">
        <v>1985-08-31</v>
      </c>
      <c r="B189">
        <f t="shared" ca="1" si="8"/>
        <v>46.011889709916588</v>
      </c>
      <c r="C189">
        <f ca="1"/>
        <v>107.9</v>
      </c>
      <c r="D189">
        <f ca="1"/>
        <v>0.1033</v>
      </c>
      <c r="E189">
        <f t="shared" ca="1" si="9"/>
        <v>8.6083333333333342E-3</v>
      </c>
      <c r="F189">
        <f ca="1"/>
        <v>15.3567</v>
      </c>
      <c r="G189">
        <f t="shared" ca="1" si="11"/>
        <v>1.8570102135562205E-3</v>
      </c>
      <c r="H189">
        <f t="shared" ca="1" si="10"/>
        <v>6.7513231197771136E-3</v>
      </c>
      <c r="I189">
        <f ca="1"/>
        <v>6.0999999999999999E-2</v>
      </c>
      <c r="J189">
        <f ca="1"/>
        <v>18.841380000000001</v>
      </c>
    </row>
    <row r="190" spans="1:10" x14ac:dyDescent="0.25">
      <c r="A190" t="str">
        <v>1985-09-30</v>
      </c>
      <c r="B190">
        <f t="shared" ca="1" si="8"/>
        <v>45.547843940795559</v>
      </c>
      <c r="C190">
        <f ca="1"/>
        <v>108.1</v>
      </c>
      <c r="D190">
        <f ca="1"/>
        <v>0.1037</v>
      </c>
      <c r="E190">
        <f t="shared" ca="1" si="9"/>
        <v>8.6416666666666673E-3</v>
      </c>
      <c r="F190">
        <f ca="1"/>
        <v>15.23</v>
      </c>
      <c r="G190">
        <f t="shared" ca="1" si="11"/>
        <v>1.853568118628246E-3</v>
      </c>
      <c r="H190">
        <f t="shared" ca="1" si="10"/>
        <v>6.7880985480384213E-3</v>
      </c>
      <c r="I190">
        <f ca="1"/>
        <v>6.2700000000000006E-2</v>
      </c>
      <c r="J190">
        <f ca="1"/>
        <v>18.869409999999998</v>
      </c>
    </row>
    <row r="191" spans="1:10" x14ac:dyDescent="0.25">
      <c r="A191" t="str">
        <v>1985-10-31</v>
      </c>
      <c r="B191">
        <f t="shared" ca="1" si="8"/>
        <v>44.764033919815674</v>
      </c>
      <c r="C191">
        <f ca="1"/>
        <v>108.5</v>
      </c>
      <c r="D191">
        <f ca="1"/>
        <v>0.1024</v>
      </c>
      <c r="E191">
        <f t="shared" ca="1" si="9"/>
        <v>8.5333333333333337E-3</v>
      </c>
      <c r="F191">
        <f ca="1"/>
        <v>15.023300000000001</v>
      </c>
      <c r="G191">
        <f t="shared" ca="1" si="11"/>
        <v>3.7002775208141436E-3</v>
      </c>
      <c r="H191">
        <f t="shared" ca="1" si="10"/>
        <v>4.8330558125191901E-3</v>
      </c>
      <c r="I191">
        <f ca="1"/>
        <v>6.3100000000000003E-2</v>
      </c>
      <c r="J191">
        <f ca="1"/>
        <v>18.847930000000002</v>
      </c>
    </row>
    <row r="192" spans="1:10" x14ac:dyDescent="0.25">
      <c r="A192" t="str">
        <v>1985-11-30</v>
      </c>
      <c r="B192">
        <f t="shared" ca="1" si="8"/>
        <v>43.945924400917427</v>
      </c>
      <c r="C192">
        <f ca="1"/>
        <v>109</v>
      </c>
      <c r="D192">
        <f ca="1"/>
        <v>9.7799999999999998E-2</v>
      </c>
      <c r="E192">
        <f t="shared" ca="1" si="9"/>
        <v>8.1499999999999993E-3</v>
      </c>
      <c r="F192">
        <f ca="1"/>
        <v>14.816700000000001</v>
      </c>
      <c r="G192">
        <f t="shared" ca="1" si="11"/>
        <v>4.6082949308756671E-3</v>
      </c>
      <c r="H192">
        <f t="shared" ca="1" si="10"/>
        <v>3.5417050691243322E-3</v>
      </c>
      <c r="I192">
        <f ca="1"/>
        <v>6.2E-2</v>
      </c>
      <c r="J192">
        <f ca="1"/>
        <v>18.843879999999999</v>
      </c>
    </row>
    <row r="193" spans="1:10" x14ac:dyDescent="0.25">
      <c r="A193" t="str">
        <v>1985-12-31</v>
      </c>
      <c r="B193">
        <f t="shared" ca="1" si="8"/>
        <v>43.134990958904105</v>
      </c>
      <c r="C193">
        <f ca="1"/>
        <v>109.5</v>
      </c>
      <c r="D193">
        <f ca="1"/>
        <v>9.2600000000000002E-2</v>
      </c>
      <c r="E193">
        <f t="shared" ca="1" si="9"/>
        <v>7.7166666666666668E-3</v>
      </c>
      <c r="F193">
        <f ca="1"/>
        <v>14.61</v>
      </c>
      <c r="G193">
        <f t="shared" ca="1" si="11"/>
        <v>4.5871559633028358E-3</v>
      </c>
      <c r="H193">
        <f t="shared" ca="1" si="10"/>
        <v>3.129510703363831E-3</v>
      </c>
      <c r="I193">
        <f ca="1"/>
        <v>6.3100000000000003E-2</v>
      </c>
      <c r="J193">
        <f ca="1"/>
        <v>18.839860000000002</v>
      </c>
    </row>
    <row r="194" spans="1:10" x14ac:dyDescent="0.25">
      <c r="A194" t="str">
        <v>1986-01-31</v>
      </c>
      <c r="B194">
        <f t="shared" ref="B194:B257" ca="1" si="12">F194*$C$669/C194</f>
        <v>42.889743221110095</v>
      </c>
      <c r="C194">
        <f ca="1"/>
        <v>109.9</v>
      </c>
      <c r="D194">
        <f ca="1"/>
        <v>9.1899999999999996E-2</v>
      </c>
      <c r="E194">
        <f t="shared" ca="1" si="9"/>
        <v>7.658333333333333E-3</v>
      </c>
      <c r="F194">
        <f ca="1"/>
        <v>14.58</v>
      </c>
      <c r="G194">
        <f t="shared" ca="1" si="11"/>
        <v>3.6529680365298134E-3</v>
      </c>
      <c r="H194">
        <f t="shared" ca="1" si="10"/>
        <v>4.0053652968035196E-3</v>
      </c>
      <c r="I194">
        <f ca="1"/>
        <v>6.3700000000000007E-2</v>
      </c>
      <c r="J194">
        <f ca="1"/>
        <v>18.883420000000001</v>
      </c>
    </row>
    <row r="195" spans="1:10" x14ac:dyDescent="0.25">
      <c r="A195" t="str">
        <v>1986-02-28</v>
      </c>
      <c r="B195">
        <f t="shared" ca="1" si="12"/>
        <v>42.879526435733823</v>
      </c>
      <c r="C195">
        <f ca="1"/>
        <v>109.7</v>
      </c>
      <c r="D195">
        <f ca="1"/>
        <v>8.6999999999999994E-2</v>
      </c>
      <c r="E195">
        <f t="shared" ref="E195:E258" ca="1" si="13">D195/12</f>
        <v>7.2499999999999995E-3</v>
      </c>
      <c r="F195">
        <f ca="1"/>
        <v>14.55</v>
      </c>
      <c r="G195">
        <f t="shared" ca="1" si="11"/>
        <v>-1.8198362147406888E-3</v>
      </c>
      <c r="H195">
        <f t="shared" ref="H195:H258" ca="1" si="14">E195-G195</f>
        <v>9.0698362147406883E-3</v>
      </c>
      <c r="I195">
        <f ca="1"/>
        <v>6.3299999999999995E-2</v>
      </c>
      <c r="J195">
        <f ca="1"/>
        <v>19.030640000000002</v>
      </c>
    </row>
    <row r="196" spans="1:10" x14ac:dyDescent="0.25">
      <c r="A196" t="str">
        <v>1986-03-31</v>
      </c>
      <c r="B196">
        <f t="shared" ca="1" si="12"/>
        <v>43.026446562786433</v>
      </c>
      <c r="C196">
        <f ca="1"/>
        <v>109.1</v>
      </c>
      <c r="D196">
        <f ca="1"/>
        <v>7.7799999999999994E-2</v>
      </c>
      <c r="E196">
        <f t="shared" ca="1" si="13"/>
        <v>6.4833333333333331E-3</v>
      </c>
      <c r="F196">
        <f ca="1"/>
        <v>14.52</v>
      </c>
      <c r="G196">
        <f t="shared" ref="G196:G259" ca="1" si="15">C196/C195-1</f>
        <v>-5.4694621695533518E-3</v>
      </c>
      <c r="H196">
        <f t="shared" ca="1" si="14"/>
        <v>1.1952795502886686E-2</v>
      </c>
      <c r="I196">
        <f ca="1"/>
        <v>6.6900000000000001E-2</v>
      </c>
      <c r="J196">
        <f ca="1"/>
        <v>19.213930000000001</v>
      </c>
    </row>
    <row r="197" spans="1:10" x14ac:dyDescent="0.25">
      <c r="A197" t="str">
        <v>1986-04-30</v>
      </c>
      <c r="B197">
        <f t="shared" ca="1" si="12"/>
        <v>43.373041769089234</v>
      </c>
      <c r="C197">
        <f ca="1"/>
        <v>108.7</v>
      </c>
      <c r="D197">
        <f ca="1"/>
        <v>7.2999999999999995E-2</v>
      </c>
      <c r="E197">
        <f t="shared" ca="1" si="13"/>
        <v>6.083333333333333E-3</v>
      </c>
      <c r="F197">
        <f ca="1"/>
        <v>14.583299999999999</v>
      </c>
      <c r="G197">
        <f t="shared" ca="1" si="15"/>
        <v>-3.6663611365719273E-3</v>
      </c>
      <c r="H197">
        <f t="shared" ca="1" si="14"/>
        <v>9.7496944699052603E-3</v>
      </c>
      <c r="I197">
        <f ca="1"/>
        <v>6.9099999999999995E-2</v>
      </c>
      <c r="J197">
        <f ca="1"/>
        <v>19.313320000000001</v>
      </c>
    </row>
    <row r="198" spans="1:10" x14ac:dyDescent="0.25">
      <c r="A198" t="str">
        <v>1986-05-31</v>
      </c>
      <c r="B198">
        <f t="shared" ca="1" si="12"/>
        <v>43.441709079816512</v>
      </c>
      <c r="C198">
        <f ca="1"/>
        <v>109</v>
      </c>
      <c r="D198">
        <f ca="1"/>
        <v>7.7100000000000002E-2</v>
      </c>
      <c r="E198">
        <f t="shared" ca="1" si="13"/>
        <v>6.4250000000000002E-3</v>
      </c>
      <c r="F198">
        <f ca="1"/>
        <v>14.646699999999999</v>
      </c>
      <c r="G198">
        <f t="shared" ca="1" si="15"/>
        <v>2.7598896044158661E-3</v>
      </c>
      <c r="H198">
        <f t="shared" ca="1" si="14"/>
        <v>3.6651103955841341E-3</v>
      </c>
      <c r="I198">
        <f ca="1"/>
        <v>6.4500000000000002E-2</v>
      </c>
      <c r="J198">
        <f ca="1"/>
        <v>19.323930000000001</v>
      </c>
    </row>
    <row r="199" spans="1:10" x14ac:dyDescent="0.25">
      <c r="A199" t="str">
        <v>1986-06-30</v>
      </c>
      <c r="B199">
        <f t="shared" ca="1" si="12"/>
        <v>43.469932449725782</v>
      </c>
      <c r="C199">
        <f ca="1"/>
        <v>109.4</v>
      </c>
      <c r="D199">
        <f ca="1"/>
        <v>7.8E-2</v>
      </c>
      <c r="E199">
        <f t="shared" ca="1" si="13"/>
        <v>6.4999999999999997E-3</v>
      </c>
      <c r="F199">
        <f ca="1"/>
        <v>14.71</v>
      </c>
      <c r="G199">
        <f t="shared" ca="1" si="15"/>
        <v>3.6697247706423131E-3</v>
      </c>
      <c r="H199">
        <f t="shared" ca="1" si="14"/>
        <v>2.8302752293576866E-3</v>
      </c>
      <c r="I199">
        <f ca="1"/>
        <v>6.1800000000000001E-2</v>
      </c>
      <c r="J199">
        <f ca="1"/>
        <v>19.28153</v>
      </c>
    </row>
    <row r="200" spans="1:10" x14ac:dyDescent="0.25">
      <c r="A200" t="str">
        <v>1986-07-31</v>
      </c>
      <c r="B200">
        <f t="shared" ca="1" si="12"/>
        <v>43.568112326027396</v>
      </c>
      <c r="C200">
        <f ca="1"/>
        <v>109.5</v>
      </c>
      <c r="D200">
        <f ca="1"/>
        <v>7.2999999999999995E-2</v>
      </c>
      <c r="E200">
        <f t="shared" ca="1" si="13"/>
        <v>6.083333333333333E-3</v>
      </c>
      <c r="F200">
        <f ca="1"/>
        <v>14.7567</v>
      </c>
      <c r="G200">
        <f t="shared" ca="1" si="15"/>
        <v>9.1407678244959101E-4</v>
      </c>
      <c r="H200">
        <f t="shared" ca="1" si="14"/>
        <v>5.1692565508837419E-3</v>
      </c>
      <c r="I200">
        <f ca="1"/>
        <v>6.7699999999999996E-2</v>
      </c>
      <c r="J200">
        <f ca="1"/>
        <v>19.384679999999999</v>
      </c>
    </row>
    <row r="201" spans="1:10" x14ac:dyDescent="0.25">
      <c r="A201" t="str">
        <v>1986-08-31</v>
      </c>
      <c r="B201">
        <f t="shared" ca="1" si="12"/>
        <v>43.66581806843066</v>
      </c>
      <c r="C201">
        <f ca="1"/>
        <v>109.6</v>
      </c>
      <c r="D201">
        <f ca="1"/>
        <v>7.17E-2</v>
      </c>
      <c r="E201">
        <f t="shared" ca="1" si="13"/>
        <v>5.9750000000000003E-3</v>
      </c>
      <c r="F201">
        <f ca="1"/>
        <v>14.8033</v>
      </c>
      <c r="G201">
        <f t="shared" ca="1" si="15"/>
        <v>9.1324200913245335E-4</v>
      </c>
      <c r="H201">
        <f t="shared" ca="1" si="14"/>
        <v>5.0617579908675469E-3</v>
      </c>
      <c r="I201">
        <f ca="1"/>
        <v>6.7199999999999996E-2</v>
      </c>
      <c r="J201">
        <f ca="1"/>
        <v>19.45232</v>
      </c>
    </row>
    <row r="202" spans="1:10" x14ac:dyDescent="0.25">
      <c r="A202" t="str">
        <v>1986-09-30</v>
      </c>
      <c r="B202">
        <f t="shared" ca="1" si="12"/>
        <v>43.644284999999996</v>
      </c>
      <c r="C202">
        <f ca="1"/>
        <v>110</v>
      </c>
      <c r="D202">
        <f ca="1"/>
        <v>7.4499999999999997E-2</v>
      </c>
      <c r="E202">
        <f t="shared" ca="1" si="13"/>
        <v>6.2083333333333331E-3</v>
      </c>
      <c r="F202">
        <f ca="1"/>
        <v>14.85</v>
      </c>
      <c r="G202">
        <f t="shared" ca="1" si="15"/>
        <v>3.6496350364965124E-3</v>
      </c>
      <c r="H202">
        <f t="shared" ca="1" si="14"/>
        <v>2.5586982968368206E-3</v>
      </c>
      <c r="I202">
        <f ca="1"/>
        <v>6.6799999999999998E-2</v>
      </c>
      <c r="J202">
        <f ca="1"/>
        <v>19.466550000000002</v>
      </c>
    </row>
    <row r="203" spans="1:10" x14ac:dyDescent="0.25">
      <c r="A203" t="str">
        <v>1986-10-31</v>
      </c>
      <c r="B203">
        <f t="shared" ca="1" si="12"/>
        <v>43.203353627041736</v>
      </c>
      <c r="C203">
        <f ca="1"/>
        <v>110.2</v>
      </c>
      <c r="D203">
        <f ca="1"/>
        <v>7.4300000000000005E-2</v>
      </c>
      <c r="E203">
        <f t="shared" ca="1" si="13"/>
        <v>6.1916666666666674E-3</v>
      </c>
      <c r="F203">
        <f ca="1"/>
        <v>14.726699999999999</v>
      </c>
      <c r="G203">
        <f t="shared" ca="1" si="15"/>
        <v>1.8181818181819409E-3</v>
      </c>
      <c r="H203">
        <f t="shared" ca="1" si="14"/>
        <v>4.3734848484847265E-3</v>
      </c>
      <c r="I203">
        <f ca="1"/>
        <v>6.6799999999999998E-2</v>
      </c>
      <c r="J203">
        <f ca="1"/>
        <v>19.488289999999999</v>
      </c>
    </row>
    <row r="204" spans="1:10" x14ac:dyDescent="0.25">
      <c r="A204" t="str">
        <v>1986-11-30</v>
      </c>
      <c r="B204">
        <f t="shared" ca="1" si="12"/>
        <v>42.763726995471018</v>
      </c>
      <c r="C204">
        <f ca="1"/>
        <v>110.4</v>
      </c>
      <c r="D204">
        <f ca="1"/>
        <v>7.2499999999999995E-2</v>
      </c>
      <c r="E204">
        <f t="shared" ca="1" si="13"/>
        <v>6.0416666666666665E-3</v>
      </c>
      <c r="F204">
        <f ca="1"/>
        <v>14.603300000000001</v>
      </c>
      <c r="G204">
        <f t="shared" ca="1" si="15"/>
        <v>1.8148820326679971E-3</v>
      </c>
      <c r="H204">
        <f t="shared" ca="1" si="14"/>
        <v>4.2267846339986695E-3</v>
      </c>
      <c r="I204">
        <f ca="1"/>
        <v>6.6100000000000006E-2</v>
      </c>
      <c r="J204">
        <f ca="1"/>
        <v>19.509969999999999</v>
      </c>
    </row>
    <row r="205" spans="1:10" x14ac:dyDescent="0.25">
      <c r="A205" t="str">
        <v>1986-12-31</v>
      </c>
      <c r="B205">
        <f t="shared" ca="1" si="12"/>
        <v>42.249581949458481</v>
      </c>
      <c r="C205">
        <f ca="1"/>
        <v>110.8</v>
      </c>
      <c r="D205">
        <f ca="1"/>
        <v>7.1099999999999997E-2</v>
      </c>
      <c r="E205">
        <f t="shared" ca="1" si="13"/>
        <v>5.9249999999999997E-3</v>
      </c>
      <c r="F205">
        <f ca="1"/>
        <v>14.48</v>
      </c>
      <c r="G205">
        <f t="shared" ca="1" si="15"/>
        <v>3.6231884057971175E-3</v>
      </c>
      <c r="H205">
        <f t="shared" ca="1" si="14"/>
        <v>2.3018115942028822E-3</v>
      </c>
      <c r="I205">
        <f ca="1"/>
        <v>6.6100000000000006E-2</v>
      </c>
      <c r="J205">
        <f ca="1"/>
        <v>19.531639999999999</v>
      </c>
    </row>
    <row r="206" spans="1:10" x14ac:dyDescent="0.25">
      <c r="A206" t="str">
        <v>1987-01-31</v>
      </c>
      <c r="B206">
        <f t="shared" ca="1" si="12"/>
        <v>42.621884467684019</v>
      </c>
      <c r="C206">
        <f ca="1"/>
        <v>111.4</v>
      </c>
      <c r="D206">
        <f ca="1"/>
        <v>7.0800000000000002E-2</v>
      </c>
      <c r="E206">
        <f t="shared" ca="1" si="13"/>
        <v>5.8999999999999999E-3</v>
      </c>
      <c r="F206">
        <f ca="1"/>
        <v>14.6867</v>
      </c>
      <c r="G206">
        <f t="shared" ca="1" si="15"/>
        <v>5.4151624548737232E-3</v>
      </c>
      <c r="H206">
        <f t="shared" ca="1" si="14"/>
        <v>4.848375451262767E-4</v>
      </c>
      <c r="I206">
        <f ca="1"/>
        <v>6.2600000000000003E-2</v>
      </c>
      <c r="J206">
        <f ca="1"/>
        <v>19.455570000000002</v>
      </c>
    </row>
    <row r="207" spans="1:10" x14ac:dyDescent="0.25">
      <c r="A207" t="str">
        <v>1987-02-28</v>
      </c>
      <c r="B207">
        <f t="shared" ca="1" si="12"/>
        <v>43.066814403398922</v>
      </c>
      <c r="C207">
        <f ca="1"/>
        <v>111.8</v>
      </c>
      <c r="D207">
        <f ca="1"/>
        <v>7.2499999999999995E-2</v>
      </c>
      <c r="E207">
        <f t="shared" ca="1" si="13"/>
        <v>6.0416666666666665E-3</v>
      </c>
      <c r="F207">
        <f ca="1"/>
        <v>14.8933</v>
      </c>
      <c r="G207">
        <f t="shared" ca="1" si="15"/>
        <v>3.5906642728904536E-3</v>
      </c>
      <c r="H207">
        <f t="shared" ca="1" si="14"/>
        <v>2.4510023937762129E-3</v>
      </c>
      <c r="I207">
        <f ca="1"/>
        <v>5.6300000000000003E-2</v>
      </c>
      <c r="J207">
        <f ca="1"/>
        <v>19.432549999999999</v>
      </c>
    </row>
    <row r="208" spans="1:10" x14ac:dyDescent="0.25">
      <c r="A208" t="str">
        <v>1987-03-31</v>
      </c>
      <c r="B208">
        <f t="shared" ca="1" si="12"/>
        <v>43.508860071301243</v>
      </c>
      <c r="C208">
        <f ca="1"/>
        <v>112.2</v>
      </c>
      <c r="D208">
        <f ca="1"/>
        <v>7.2499999999999995E-2</v>
      </c>
      <c r="E208">
        <f t="shared" ca="1" si="13"/>
        <v>6.0416666666666665E-3</v>
      </c>
      <c r="F208">
        <f ca="1"/>
        <v>15.1</v>
      </c>
      <c r="G208">
        <f t="shared" ca="1" si="15"/>
        <v>3.5778175313059268E-3</v>
      </c>
      <c r="H208">
        <f t="shared" ca="1" si="14"/>
        <v>2.4638491353607397E-3</v>
      </c>
      <c r="I208">
        <f ca="1"/>
        <v>5.3699999999999998E-2</v>
      </c>
      <c r="J208">
        <f ca="1"/>
        <v>19.392379999999999</v>
      </c>
    </row>
    <row r="209" spans="1:10" x14ac:dyDescent="0.25">
      <c r="A209" t="str">
        <v>1987-04-30</v>
      </c>
      <c r="B209">
        <f t="shared" ca="1" si="12"/>
        <v>42.665519346051461</v>
      </c>
      <c r="C209">
        <f ca="1"/>
        <v>112.7</v>
      </c>
      <c r="D209">
        <f ca="1"/>
        <v>8.0199999999999994E-2</v>
      </c>
      <c r="E209">
        <f t="shared" ca="1" si="13"/>
        <v>6.6833333333333328E-3</v>
      </c>
      <c r="F209">
        <f ca="1"/>
        <v>14.8733</v>
      </c>
      <c r="G209">
        <f t="shared" ca="1" si="15"/>
        <v>4.4563279857396942E-3</v>
      </c>
      <c r="H209">
        <f t="shared" ca="1" si="14"/>
        <v>2.2270053475936386E-3</v>
      </c>
      <c r="I209">
        <f ca="1"/>
        <v>4.6600000000000003E-2</v>
      </c>
      <c r="J209">
        <f ca="1"/>
        <v>19.427910000000001</v>
      </c>
    </row>
    <row r="210" spans="1:10" x14ac:dyDescent="0.25">
      <c r="A210" t="str">
        <v>1987-05-31</v>
      </c>
      <c r="B210">
        <f t="shared" ca="1" si="12"/>
        <v>41.903949466371685</v>
      </c>
      <c r="C210">
        <f ca="1"/>
        <v>113</v>
      </c>
      <c r="D210">
        <f ca="1"/>
        <v>8.6099999999999996E-2</v>
      </c>
      <c r="E210">
        <f t="shared" ca="1" si="13"/>
        <v>7.175E-3</v>
      </c>
      <c r="F210">
        <f ca="1"/>
        <v>14.646699999999999</v>
      </c>
      <c r="G210">
        <f t="shared" ca="1" si="15"/>
        <v>2.6619343389528982E-3</v>
      </c>
      <c r="H210">
        <f t="shared" ca="1" si="14"/>
        <v>4.5130656610471017E-3</v>
      </c>
      <c r="I210">
        <f ca="1"/>
        <v>4.07E-2</v>
      </c>
      <c r="J210">
        <f ca="1"/>
        <v>19.497479999999999</v>
      </c>
    </row>
    <row r="211" spans="1:10" x14ac:dyDescent="0.25">
      <c r="A211" t="str">
        <v>1987-06-30</v>
      </c>
      <c r="B211">
        <f t="shared" ca="1" si="12"/>
        <v>41.07362308370044</v>
      </c>
      <c r="C211">
        <f ca="1"/>
        <v>113.5</v>
      </c>
      <c r="D211">
        <f ca="1"/>
        <v>8.4000000000000005E-2</v>
      </c>
      <c r="E211">
        <f t="shared" ca="1" si="13"/>
        <v>7.0000000000000001E-3</v>
      </c>
      <c r="F211">
        <f ca="1"/>
        <v>14.42</v>
      </c>
      <c r="G211">
        <f t="shared" ca="1" si="15"/>
        <v>4.4247787610618428E-3</v>
      </c>
      <c r="H211">
        <f t="shared" ca="1" si="14"/>
        <v>2.5752212389381574E-3</v>
      </c>
      <c r="I211">
        <f ca="1"/>
        <v>0.04</v>
      </c>
      <c r="J211">
        <f ca="1"/>
        <v>19.566559999999999</v>
      </c>
    </row>
    <row r="212" spans="1:10" x14ac:dyDescent="0.25">
      <c r="A212" t="str">
        <v>1987-07-31</v>
      </c>
      <c r="B212">
        <f t="shared" ca="1" si="12"/>
        <v>42.328962214411249</v>
      </c>
      <c r="C212">
        <f ca="1"/>
        <v>113.8</v>
      </c>
      <c r="D212">
        <f ca="1"/>
        <v>8.4500000000000006E-2</v>
      </c>
      <c r="E212">
        <f t="shared" ca="1" si="13"/>
        <v>7.0416666666666674E-3</v>
      </c>
      <c r="F212">
        <f ca="1"/>
        <v>14.9</v>
      </c>
      <c r="G212">
        <f t="shared" ca="1" si="15"/>
        <v>2.6431718061674658E-3</v>
      </c>
      <c r="H212">
        <f t="shared" ca="1" si="14"/>
        <v>4.3984948604992016E-3</v>
      </c>
      <c r="I212">
        <f ca="1"/>
        <v>3.7600000000000001E-2</v>
      </c>
      <c r="J212">
        <f ca="1"/>
        <v>19.621870000000001</v>
      </c>
    </row>
    <row r="213" spans="1:10" x14ac:dyDescent="0.25">
      <c r="A213" t="str">
        <v>1987-08-31</v>
      </c>
      <c r="B213">
        <f t="shared" ca="1" si="12"/>
        <v>43.50144864391951</v>
      </c>
      <c r="C213">
        <f ca="1"/>
        <v>114.3</v>
      </c>
      <c r="D213">
        <f ca="1"/>
        <v>8.7599999999999997E-2</v>
      </c>
      <c r="E213">
        <f t="shared" ca="1" si="13"/>
        <v>7.3000000000000001E-3</v>
      </c>
      <c r="F213">
        <f ca="1"/>
        <v>15.38</v>
      </c>
      <c r="G213">
        <f t="shared" ca="1" si="15"/>
        <v>4.3936731107205862E-3</v>
      </c>
      <c r="H213">
        <f t="shared" ca="1" si="14"/>
        <v>2.9063268892794139E-3</v>
      </c>
      <c r="I213">
        <f ca="1"/>
        <v>3.15E-2</v>
      </c>
      <c r="J213">
        <f ca="1"/>
        <v>19.62527</v>
      </c>
    </row>
    <row r="214" spans="1:10" x14ac:dyDescent="0.25">
      <c r="A214" t="str">
        <v>1987-09-30</v>
      </c>
      <c r="B214">
        <f t="shared" ca="1" si="12"/>
        <v>44.70266137750653</v>
      </c>
      <c r="C214">
        <f ca="1"/>
        <v>114.7</v>
      </c>
      <c r="D214">
        <f ca="1"/>
        <v>9.4200000000000006E-2</v>
      </c>
      <c r="E214">
        <f t="shared" ca="1" si="13"/>
        <v>7.8500000000000011E-3</v>
      </c>
      <c r="F214">
        <f ca="1"/>
        <v>15.86</v>
      </c>
      <c r="G214">
        <f t="shared" ca="1" si="15"/>
        <v>3.4995625546807574E-3</v>
      </c>
      <c r="H214">
        <f t="shared" ca="1" si="14"/>
        <v>4.3504374453192437E-3</v>
      </c>
      <c r="I214">
        <f ca="1"/>
        <v>2.7099999999999999E-2</v>
      </c>
      <c r="J214">
        <f ca="1"/>
        <v>19.62866</v>
      </c>
    </row>
    <row r="215" spans="1:10" x14ac:dyDescent="0.25">
      <c r="A215" t="str">
        <v>1987-10-31</v>
      </c>
      <c r="B215">
        <f t="shared" ca="1" si="12"/>
        <v>46.122943040869565</v>
      </c>
      <c r="C215">
        <f ca="1"/>
        <v>115</v>
      </c>
      <c r="D215">
        <f ca="1"/>
        <v>9.5200000000000007E-2</v>
      </c>
      <c r="E215">
        <f t="shared" ca="1" si="13"/>
        <v>7.9333333333333339E-3</v>
      </c>
      <c r="F215">
        <f ca="1"/>
        <v>16.406700000000001</v>
      </c>
      <c r="G215">
        <f t="shared" ca="1" si="15"/>
        <v>2.6155187445509043E-3</v>
      </c>
      <c r="H215">
        <f t="shared" ca="1" si="14"/>
        <v>5.3178145887824296E-3</v>
      </c>
      <c r="I215">
        <f ca="1"/>
        <v>3.39E-2</v>
      </c>
      <c r="J215">
        <f ca="1"/>
        <v>19.690619999999999</v>
      </c>
    </row>
    <row r="216" spans="1:10" x14ac:dyDescent="0.25">
      <c r="A216" t="str">
        <v>1987-11-30</v>
      </c>
      <c r="B216">
        <f t="shared" ca="1" si="12"/>
        <v>47.494361441074517</v>
      </c>
      <c r="C216">
        <f ca="1"/>
        <v>115.4</v>
      </c>
      <c r="D216">
        <f ca="1"/>
        <v>8.8599999999999998E-2</v>
      </c>
      <c r="E216">
        <f t="shared" ca="1" si="13"/>
        <v>7.3833333333333329E-3</v>
      </c>
      <c r="F216">
        <f ca="1"/>
        <v>16.953299999999999</v>
      </c>
      <c r="G216">
        <f t="shared" ca="1" si="15"/>
        <v>3.4782608695653749E-3</v>
      </c>
      <c r="H216">
        <f t="shared" ca="1" si="14"/>
        <v>3.9050724637679579E-3</v>
      </c>
      <c r="I216">
        <f ca="1"/>
        <v>4.9200000000000001E-2</v>
      </c>
      <c r="J216">
        <f ca="1"/>
        <v>19.7865</v>
      </c>
    </row>
    <row r="217" spans="1:10" x14ac:dyDescent="0.25">
      <c r="A217" t="str">
        <v>1987-12-31</v>
      </c>
      <c r="B217">
        <f t="shared" ca="1" si="12"/>
        <v>48.941111591695503</v>
      </c>
      <c r="C217">
        <f ca="1"/>
        <v>115.6</v>
      </c>
      <c r="D217">
        <f ca="1"/>
        <v>8.9899999999999994E-2</v>
      </c>
      <c r="E217">
        <f t="shared" ca="1" si="13"/>
        <v>7.4916666666666664E-3</v>
      </c>
      <c r="F217">
        <f ca="1"/>
        <v>17.5</v>
      </c>
      <c r="G217">
        <f t="shared" ca="1" si="15"/>
        <v>1.7331022530329143E-3</v>
      </c>
      <c r="H217">
        <f t="shared" ca="1" si="14"/>
        <v>5.7585644136337521E-3</v>
      </c>
      <c r="I217">
        <f ca="1"/>
        <v>4.87E-2</v>
      </c>
      <c r="J217">
        <f ca="1"/>
        <v>19.899429999999999</v>
      </c>
    </row>
    <row r="218" spans="1:10" x14ac:dyDescent="0.25">
      <c r="A218" t="str">
        <v>1988-01-31</v>
      </c>
      <c r="B218">
        <f t="shared" ca="1" si="12"/>
        <v>49.784863106034479</v>
      </c>
      <c r="C218">
        <f ca="1"/>
        <v>116</v>
      </c>
      <c r="D218">
        <f ca="1"/>
        <v>8.6699999999999999E-2</v>
      </c>
      <c r="E218">
        <f t="shared" ca="1" si="13"/>
        <v>7.2249999999999997E-3</v>
      </c>
      <c r="F218">
        <f ca="1"/>
        <v>17.863299999999999</v>
      </c>
      <c r="G218">
        <f t="shared" ca="1" si="15"/>
        <v>3.4602076124568004E-3</v>
      </c>
      <c r="H218">
        <f t="shared" ca="1" si="14"/>
        <v>3.7647923875431992E-3</v>
      </c>
      <c r="I218">
        <f ca="1"/>
        <v>4.8800000000000003E-2</v>
      </c>
      <c r="J218">
        <f ca="1"/>
        <v>19.95298</v>
      </c>
    </row>
    <row r="219" spans="1:10" x14ac:dyDescent="0.25">
      <c r="A219" t="str">
        <v>1988-02-29</v>
      </c>
      <c r="B219">
        <f t="shared" ca="1" si="12"/>
        <v>50.710224351979342</v>
      </c>
      <c r="C219">
        <f ca="1"/>
        <v>116.2</v>
      </c>
      <c r="D219">
        <f ca="1"/>
        <v>8.2100000000000006E-2</v>
      </c>
      <c r="E219">
        <f t="shared" ca="1" si="13"/>
        <v>6.8416666666666669E-3</v>
      </c>
      <c r="F219">
        <f ca="1"/>
        <v>18.226700000000001</v>
      </c>
      <c r="G219">
        <f t="shared" ca="1" si="15"/>
        <v>1.7241379310344307E-3</v>
      </c>
      <c r="H219">
        <f t="shared" ca="1" si="14"/>
        <v>5.1175287356322362E-3</v>
      </c>
      <c r="I219">
        <f ca="1"/>
        <v>5.0999999999999997E-2</v>
      </c>
      <c r="J219">
        <f ca="1"/>
        <v>20.006219999999999</v>
      </c>
    </row>
    <row r="220" spans="1:10" x14ac:dyDescent="0.25">
      <c r="A220" t="str">
        <v>1988-03-31</v>
      </c>
      <c r="B220">
        <f t="shared" ca="1" si="12"/>
        <v>51.587808497854077</v>
      </c>
      <c r="C220">
        <f ca="1"/>
        <v>116.5</v>
      </c>
      <c r="D220">
        <f ca="1"/>
        <v>8.3699999999999997E-2</v>
      </c>
      <c r="E220">
        <f t="shared" ca="1" si="13"/>
        <v>6.9749999999999994E-3</v>
      </c>
      <c r="F220">
        <f ca="1"/>
        <v>18.59</v>
      </c>
      <c r="G220">
        <f t="shared" ca="1" si="15"/>
        <v>2.5817555938036918E-3</v>
      </c>
      <c r="H220">
        <f t="shared" ca="1" si="14"/>
        <v>4.3932444061963076E-3</v>
      </c>
      <c r="I220">
        <f ca="1"/>
        <v>4.7199999999999999E-2</v>
      </c>
      <c r="J220">
        <f ca="1"/>
        <v>20.02478</v>
      </c>
    </row>
    <row r="221" spans="1:10" x14ac:dyDescent="0.25">
      <c r="A221" t="str">
        <v>1988-04-30</v>
      </c>
      <c r="B221">
        <f t="shared" ca="1" si="12"/>
        <v>54.111796584470994</v>
      </c>
      <c r="C221">
        <f ca="1"/>
        <v>117.2</v>
      </c>
      <c r="D221">
        <f ca="1"/>
        <v>8.72E-2</v>
      </c>
      <c r="E221">
        <f t="shared" ca="1" si="13"/>
        <v>7.2666666666666669E-3</v>
      </c>
      <c r="F221">
        <f ca="1"/>
        <v>19.616700000000002</v>
      </c>
      <c r="G221">
        <f t="shared" ca="1" si="15"/>
        <v>6.0085836909871126E-3</v>
      </c>
      <c r="H221">
        <f t="shared" ca="1" si="14"/>
        <v>1.2580829756795543E-3</v>
      </c>
      <c r="I221">
        <f ca="1"/>
        <v>4.4499999999999998E-2</v>
      </c>
      <c r="J221">
        <f ca="1"/>
        <v>20.129919999999998</v>
      </c>
    </row>
    <row r="222" spans="1:10" x14ac:dyDescent="0.25">
      <c r="A222" t="str">
        <v>1988-05-31</v>
      </c>
      <c r="B222">
        <f t="shared" ca="1" si="12"/>
        <v>56.798239151489362</v>
      </c>
      <c r="C222">
        <f ca="1"/>
        <v>117.5</v>
      </c>
      <c r="D222">
        <f ca="1"/>
        <v>9.0899999999999995E-2</v>
      </c>
      <c r="E222">
        <f t="shared" ca="1" si="13"/>
        <v>7.5749999999999993E-3</v>
      </c>
      <c r="F222">
        <f ca="1"/>
        <v>20.6433</v>
      </c>
      <c r="G222">
        <f t="shared" ca="1" si="15"/>
        <v>2.5597269624573205E-3</v>
      </c>
      <c r="H222">
        <f t="shared" ca="1" si="14"/>
        <v>5.0152730375426788E-3</v>
      </c>
      <c r="I222">
        <f ca="1"/>
        <v>4.2200000000000001E-2</v>
      </c>
      <c r="J222">
        <f ca="1"/>
        <v>20.268460000000001</v>
      </c>
    </row>
    <row r="223" spans="1:10" x14ac:dyDescent="0.25">
      <c r="A223" t="str">
        <v>1988-06-30</v>
      </c>
      <c r="B223">
        <f t="shared" ca="1" si="12"/>
        <v>59.3704743220339</v>
      </c>
      <c r="C223">
        <f ca="1"/>
        <v>118</v>
      </c>
      <c r="D223">
        <f ca="1"/>
        <v>8.9200000000000002E-2</v>
      </c>
      <c r="E223">
        <f t="shared" ca="1" si="13"/>
        <v>7.4333333333333335E-3</v>
      </c>
      <c r="F223">
        <f ca="1"/>
        <v>21.67</v>
      </c>
      <c r="G223">
        <f t="shared" ca="1" si="15"/>
        <v>4.2553191489360653E-3</v>
      </c>
      <c r="H223">
        <f t="shared" ca="1" si="14"/>
        <v>3.1780141843972681E-3</v>
      </c>
      <c r="I223">
        <f ca="1"/>
        <v>3.9600000000000003E-2</v>
      </c>
      <c r="J223">
        <f ca="1"/>
        <v>20.388739999999999</v>
      </c>
    </row>
    <row r="224" spans="1:10" x14ac:dyDescent="0.25">
      <c r="A224" t="str">
        <v>1988-07-31</v>
      </c>
      <c r="B224">
        <f t="shared" ca="1" si="12"/>
        <v>60.083836964556959</v>
      </c>
      <c r="C224">
        <f ca="1"/>
        <v>118.5</v>
      </c>
      <c r="D224">
        <f ca="1"/>
        <v>9.06E-2</v>
      </c>
      <c r="E224">
        <f t="shared" ca="1" si="13"/>
        <v>7.5500000000000003E-3</v>
      </c>
      <c r="F224">
        <f ca="1"/>
        <v>22.023299999999999</v>
      </c>
      <c r="G224">
        <f t="shared" ca="1" si="15"/>
        <v>4.237288135593209E-3</v>
      </c>
      <c r="H224">
        <f t="shared" ca="1" si="14"/>
        <v>3.3127118644067912E-3</v>
      </c>
      <c r="I224">
        <f ca="1"/>
        <v>3.8600000000000002E-2</v>
      </c>
      <c r="J224">
        <f ca="1"/>
        <v>20.471360000000001</v>
      </c>
    </row>
    <row r="225" spans="1:10" x14ac:dyDescent="0.25">
      <c r="A225" t="str">
        <v>1988-08-31</v>
      </c>
      <c r="B225">
        <f t="shared" ca="1" si="12"/>
        <v>60.791476636134455</v>
      </c>
      <c r="C225">
        <f ca="1"/>
        <v>119</v>
      </c>
      <c r="D225">
        <f ca="1"/>
        <v>9.2600000000000002E-2</v>
      </c>
      <c r="E225">
        <f t="shared" ca="1" si="13"/>
        <v>7.7166666666666668E-3</v>
      </c>
      <c r="F225">
        <f ca="1"/>
        <v>22.3767</v>
      </c>
      <c r="G225">
        <f t="shared" ca="1" si="15"/>
        <v>4.2194092827003704E-3</v>
      </c>
      <c r="H225">
        <f t="shared" ca="1" si="14"/>
        <v>3.4972573839662964E-3</v>
      </c>
      <c r="I225">
        <f ca="1"/>
        <v>3.8300000000000001E-2</v>
      </c>
      <c r="J225">
        <f ca="1"/>
        <v>20.553260000000002</v>
      </c>
    </row>
    <row r="226" spans="1:10" x14ac:dyDescent="0.25">
      <c r="A226" t="str">
        <v>1988-09-30</v>
      </c>
      <c r="B226">
        <f t="shared" ca="1" si="12"/>
        <v>61.492924100418414</v>
      </c>
      <c r="C226">
        <f ca="1"/>
        <v>119.5</v>
      </c>
      <c r="D226">
        <f ca="1"/>
        <v>8.9800000000000005E-2</v>
      </c>
      <c r="E226">
        <f t="shared" ca="1" si="13"/>
        <v>7.483333333333334E-3</v>
      </c>
      <c r="F226">
        <f ca="1"/>
        <v>22.73</v>
      </c>
      <c r="G226">
        <f t="shared" ca="1" si="15"/>
        <v>4.2016806722688926E-3</v>
      </c>
      <c r="H226">
        <f t="shared" ca="1" si="14"/>
        <v>3.2816526610644414E-3</v>
      </c>
      <c r="I226">
        <f ca="1"/>
        <v>4.0399999999999998E-2</v>
      </c>
      <c r="J226">
        <f ca="1"/>
        <v>20.582820000000002</v>
      </c>
    </row>
    <row r="227" spans="1:10" x14ac:dyDescent="0.25">
      <c r="A227" t="str">
        <v>1988-10-31</v>
      </c>
      <c r="B227">
        <f t="shared" ca="1" si="12"/>
        <v>62.213429777314424</v>
      </c>
      <c r="C227">
        <f ca="1"/>
        <v>119.9</v>
      </c>
      <c r="D227">
        <f ca="1"/>
        <v>8.7999999999999995E-2</v>
      </c>
      <c r="E227">
        <f t="shared" ca="1" si="13"/>
        <v>7.3333333333333332E-3</v>
      </c>
      <c r="F227">
        <f ca="1"/>
        <v>23.0733</v>
      </c>
      <c r="G227">
        <f t="shared" ca="1" si="15"/>
        <v>3.3472803347280866E-3</v>
      </c>
      <c r="H227">
        <f t="shared" ca="1" si="14"/>
        <v>3.9860529986052466E-3</v>
      </c>
      <c r="I227">
        <f ca="1"/>
        <v>3.95E-2</v>
      </c>
      <c r="J227">
        <f ca="1"/>
        <v>20.709499999999998</v>
      </c>
    </row>
    <row r="228" spans="1:10" x14ac:dyDescent="0.25">
      <c r="A228" t="str">
        <v>1988-11-30</v>
      </c>
      <c r="B228">
        <f t="shared" ca="1" si="12"/>
        <v>62.929412798836246</v>
      </c>
      <c r="C228">
        <f ca="1"/>
        <v>120.3</v>
      </c>
      <c r="D228">
        <f ca="1"/>
        <v>8.9599999999999999E-2</v>
      </c>
      <c r="E228">
        <f t="shared" ca="1" si="13"/>
        <v>7.4666666666666666E-3</v>
      </c>
      <c r="F228">
        <f ca="1"/>
        <v>23.416699999999999</v>
      </c>
      <c r="G228">
        <f t="shared" ca="1" si="15"/>
        <v>3.3361134278564464E-3</v>
      </c>
      <c r="H228">
        <f t="shared" ca="1" si="14"/>
        <v>4.1305532388102202E-3</v>
      </c>
      <c r="I228">
        <f ca="1"/>
        <v>3.9300000000000002E-2</v>
      </c>
      <c r="J228">
        <f ca="1"/>
        <v>20.88729</v>
      </c>
    </row>
    <row r="229" spans="1:10" x14ac:dyDescent="0.25">
      <c r="A229" t="str">
        <v>1988-12-31</v>
      </c>
      <c r="B229">
        <f t="shared" ca="1" si="12"/>
        <v>63.61359776304888</v>
      </c>
      <c r="C229">
        <f ca="1"/>
        <v>120.7</v>
      </c>
      <c r="D229">
        <f ca="1"/>
        <v>9.11E-2</v>
      </c>
      <c r="E229">
        <f t="shared" ca="1" si="13"/>
        <v>7.5916666666666667E-3</v>
      </c>
      <c r="F229">
        <f ca="1"/>
        <v>23.75</v>
      </c>
      <c r="G229">
        <f t="shared" ca="1" si="15"/>
        <v>3.3250207813799726E-3</v>
      </c>
      <c r="H229">
        <f t="shared" ca="1" si="14"/>
        <v>4.2666458852866941E-3</v>
      </c>
      <c r="I229">
        <f ca="1"/>
        <v>3.6299999999999999E-2</v>
      </c>
      <c r="J229">
        <f ca="1"/>
        <v>21.09056</v>
      </c>
    </row>
    <row r="230" spans="1:10" x14ac:dyDescent="0.25">
      <c r="A230" t="str">
        <v>1989-01-31</v>
      </c>
      <c r="B230">
        <f t="shared" ca="1" si="12"/>
        <v>64.444806600660058</v>
      </c>
      <c r="C230">
        <f ca="1"/>
        <v>121.2</v>
      </c>
      <c r="D230">
        <f ca="1"/>
        <v>9.0899999999999995E-2</v>
      </c>
      <c r="E230">
        <f t="shared" ca="1" si="13"/>
        <v>7.5749999999999993E-3</v>
      </c>
      <c r="F230">
        <f ca="1"/>
        <v>24.16</v>
      </c>
      <c r="G230">
        <f t="shared" ca="1" si="15"/>
        <v>4.1425020712511085E-3</v>
      </c>
      <c r="H230">
        <f t="shared" ca="1" si="14"/>
        <v>3.4324979287488908E-3</v>
      </c>
      <c r="I230">
        <f ca="1"/>
        <v>3.4299999999999997E-2</v>
      </c>
      <c r="J230">
        <f ca="1"/>
        <v>21.12238</v>
      </c>
    </row>
    <row r="231" spans="1:10" x14ac:dyDescent="0.25">
      <c r="A231" t="str">
        <v>1989-02-28</v>
      </c>
      <c r="B231">
        <f t="shared" ca="1" si="12"/>
        <v>65.296274342105264</v>
      </c>
      <c r="C231">
        <f ca="1"/>
        <v>121.6</v>
      </c>
      <c r="D231">
        <f ca="1"/>
        <v>9.1700000000000004E-2</v>
      </c>
      <c r="E231">
        <f t="shared" ca="1" si="13"/>
        <v>7.6416666666666673E-3</v>
      </c>
      <c r="F231">
        <f ca="1"/>
        <v>24.56</v>
      </c>
      <c r="G231">
        <f t="shared" ca="1" si="15"/>
        <v>3.3003300330032292E-3</v>
      </c>
      <c r="H231">
        <f t="shared" ca="1" si="14"/>
        <v>4.341336633663438E-3</v>
      </c>
      <c r="I231">
        <f ca="1"/>
        <v>3.1099999999999999E-2</v>
      </c>
      <c r="J231">
        <f ca="1"/>
        <v>21.214179999999999</v>
      </c>
    </row>
    <row r="232" spans="1:10" x14ac:dyDescent="0.25">
      <c r="A232" t="str">
        <v>1989-03-31</v>
      </c>
      <c r="B232">
        <f t="shared" ca="1" si="12"/>
        <v>66.033906382978714</v>
      </c>
      <c r="C232">
        <f ca="1"/>
        <v>122.2</v>
      </c>
      <c r="D232">
        <f ca="1"/>
        <v>9.3600000000000003E-2</v>
      </c>
      <c r="E232">
        <f t="shared" ca="1" si="13"/>
        <v>7.8000000000000005E-3</v>
      </c>
      <c r="F232">
        <f ca="1"/>
        <v>24.96</v>
      </c>
      <c r="G232">
        <f t="shared" ca="1" si="15"/>
        <v>4.9342105263159297E-3</v>
      </c>
      <c r="H232">
        <f t="shared" ca="1" si="14"/>
        <v>2.8657894736840708E-3</v>
      </c>
      <c r="I232">
        <f ca="1"/>
        <v>2.9499999999999998E-2</v>
      </c>
      <c r="J232">
        <f ca="1"/>
        <v>21.334289999999999</v>
      </c>
    </row>
    <row r="233" spans="1:10" x14ac:dyDescent="0.25">
      <c r="A233" t="str">
        <v>1989-04-30</v>
      </c>
      <c r="B233">
        <f t="shared" ca="1" si="12"/>
        <v>65.778819575142165</v>
      </c>
      <c r="C233">
        <f ca="1"/>
        <v>123.1</v>
      </c>
      <c r="D233">
        <f ca="1"/>
        <v>9.1800000000000007E-2</v>
      </c>
      <c r="E233">
        <f t="shared" ca="1" si="13"/>
        <v>7.6500000000000005E-3</v>
      </c>
      <c r="F233">
        <f ca="1"/>
        <v>25.046700000000001</v>
      </c>
      <c r="G233">
        <f t="shared" ca="1" si="15"/>
        <v>7.3649754500817455E-3</v>
      </c>
      <c r="H233">
        <f t="shared" ca="1" si="14"/>
        <v>2.8502454991825507E-4</v>
      </c>
      <c r="I233">
        <f ca="1"/>
        <v>2.9100000000000001E-2</v>
      </c>
      <c r="J233">
        <f ca="1"/>
        <v>21.358049999999999</v>
      </c>
    </row>
    <row r="234" spans="1:10" x14ac:dyDescent="0.25">
      <c r="A234" t="str">
        <v>1989-05-31</v>
      </c>
      <c r="B234">
        <f t="shared" ca="1" si="12"/>
        <v>65.686092888439759</v>
      </c>
      <c r="C234">
        <f ca="1"/>
        <v>123.7</v>
      </c>
      <c r="D234">
        <f ca="1"/>
        <v>8.8599999999999998E-2</v>
      </c>
      <c r="E234">
        <f t="shared" ca="1" si="13"/>
        <v>7.3833333333333329E-3</v>
      </c>
      <c r="F234">
        <f ca="1"/>
        <v>25.133299999999998</v>
      </c>
      <c r="G234">
        <f t="shared" ca="1" si="15"/>
        <v>4.8740861088547582E-3</v>
      </c>
      <c r="H234">
        <f t="shared" ca="1" si="14"/>
        <v>2.5092472244785747E-3</v>
      </c>
      <c r="I234">
        <f ca="1"/>
        <v>2.9600000000000001E-2</v>
      </c>
      <c r="J234">
        <f ca="1"/>
        <v>21.461729999999999</v>
      </c>
    </row>
    <row r="235" spans="1:10" x14ac:dyDescent="0.25">
      <c r="A235" t="str">
        <v>1989-06-30</v>
      </c>
      <c r="B235">
        <f t="shared" ca="1" si="12"/>
        <v>65.700233843674454</v>
      </c>
      <c r="C235">
        <f ca="1"/>
        <v>124.1</v>
      </c>
      <c r="D235">
        <f ca="1"/>
        <v>8.2799999999999999E-2</v>
      </c>
      <c r="E235">
        <f t="shared" ca="1" si="13"/>
        <v>6.8999999999999999E-3</v>
      </c>
      <c r="F235">
        <f ca="1"/>
        <v>25.22</v>
      </c>
      <c r="G235">
        <f t="shared" ca="1" si="15"/>
        <v>3.2336297493935628E-3</v>
      </c>
      <c r="H235">
        <f t="shared" ca="1" si="14"/>
        <v>3.666370250606437E-3</v>
      </c>
      <c r="I235">
        <f ca="1"/>
        <v>3.2800000000000003E-2</v>
      </c>
      <c r="J235">
        <f ca="1"/>
        <v>21.780989999999999</v>
      </c>
    </row>
    <row r="236" spans="1:10" x14ac:dyDescent="0.25">
      <c r="A236" t="str">
        <v>1989-07-31</v>
      </c>
      <c r="B236">
        <f t="shared" ca="1" si="12"/>
        <v>64.16482417670683</v>
      </c>
      <c r="C236">
        <f ca="1"/>
        <v>124.5</v>
      </c>
      <c r="D236">
        <f ca="1"/>
        <v>8.0199999999999994E-2</v>
      </c>
      <c r="E236">
        <f t="shared" ca="1" si="13"/>
        <v>6.6833333333333328E-3</v>
      </c>
      <c r="F236">
        <f ca="1"/>
        <v>24.71</v>
      </c>
      <c r="G236">
        <f t="shared" ca="1" si="15"/>
        <v>3.2232070910556132E-3</v>
      </c>
      <c r="H236">
        <f t="shared" ca="1" si="14"/>
        <v>3.4601262422777196E-3</v>
      </c>
      <c r="I236">
        <f ca="1"/>
        <v>3.32E-2</v>
      </c>
      <c r="J236">
        <f ca="1"/>
        <v>21.840140000000002</v>
      </c>
    </row>
    <row r="237" spans="1:10" x14ac:dyDescent="0.25">
      <c r="A237" t="str">
        <v>1989-08-31</v>
      </c>
      <c r="B237">
        <f t="shared" ca="1" si="12"/>
        <v>62.840499598393571</v>
      </c>
      <c r="C237">
        <f ca="1"/>
        <v>124.5</v>
      </c>
      <c r="D237">
        <f ca="1"/>
        <v>8.1100000000000005E-2</v>
      </c>
      <c r="E237">
        <f t="shared" ca="1" si="13"/>
        <v>6.7583333333333341E-3</v>
      </c>
      <c r="F237">
        <f ca="1"/>
        <v>24.2</v>
      </c>
      <c r="G237">
        <f t="shared" ca="1" si="15"/>
        <v>0</v>
      </c>
      <c r="H237">
        <f t="shared" ca="1" si="14"/>
        <v>6.7583333333333341E-3</v>
      </c>
      <c r="I237">
        <f ca="1"/>
        <v>2.9100000000000001E-2</v>
      </c>
      <c r="J237">
        <f ca="1"/>
        <v>22.06324</v>
      </c>
    </row>
    <row r="238" spans="1:10" x14ac:dyDescent="0.25">
      <c r="A238" t="str">
        <v>1989-09-30</v>
      </c>
      <c r="B238">
        <f t="shared" ca="1" si="12"/>
        <v>61.368299599358977</v>
      </c>
      <c r="C238">
        <f ca="1"/>
        <v>124.8</v>
      </c>
      <c r="D238">
        <f ca="1"/>
        <v>8.1900000000000001E-2</v>
      </c>
      <c r="E238">
        <f t="shared" ca="1" si="13"/>
        <v>6.8250000000000003E-3</v>
      </c>
      <c r="F238">
        <f ca="1"/>
        <v>23.69</v>
      </c>
      <c r="G238">
        <f t="shared" ca="1" si="15"/>
        <v>2.4096385542169418E-3</v>
      </c>
      <c r="H238">
        <f t="shared" ca="1" si="14"/>
        <v>4.4153614457830585E-3</v>
      </c>
      <c r="I238">
        <f ca="1"/>
        <v>2.75E-2</v>
      </c>
      <c r="J238">
        <f ca="1"/>
        <v>22.374860000000002</v>
      </c>
    </row>
    <row r="239" spans="1:10" x14ac:dyDescent="0.25">
      <c r="A239" t="str">
        <v>1989-10-31</v>
      </c>
      <c r="B239">
        <f t="shared" ca="1" si="12"/>
        <v>60.395863394736836</v>
      </c>
      <c r="C239">
        <f ca="1"/>
        <v>125.4</v>
      </c>
      <c r="D239">
        <f ca="1"/>
        <v>8.0100000000000005E-2</v>
      </c>
      <c r="E239">
        <f t="shared" ca="1" si="13"/>
        <v>6.6750000000000004E-3</v>
      </c>
      <c r="F239">
        <f ca="1"/>
        <v>23.4267</v>
      </c>
      <c r="G239">
        <f t="shared" ca="1" si="15"/>
        <v>4.8076923076922906E-3</v>
      </c>
      <c r="H239">
        <f t="shared" ca="1" si="14"/>
        <v>1.8673076923077098E-3</v>
      </c>
      <c r="I239">
        <f ca="1"/>
        <v>2.92E-2</v>
      </c>
      <c r="J239">
        <f ca="1"/>
        <v>22.406400000000001</v>
      </c>
    </row>
    <row r="240" spans="1:10" x14ac:dyDescent="0.25">
      <c r="A240" t="str">
        <v>1989-11-30</v>
      </c>
      <c r="B240">
        <f t="shared" ca="1" si="12"/>
        <v>59.479637969023031</v>
      </c>
      <c r="C240">
        <f ca="1"/>
        <v>125.9</v>
      </c>
      <c r="D240">
        <f ca="1"/>
        <v>7.8700000000000006E-2</v>
      </c>
      <c r="E240">
        <f t="shared" ca="1" si="13"/>
        <v>6.5583333333333335E-3</v>
      </c>
      <c r="F240">
        <f ca="1"/>
        <v>23.1633</v>
      </c>
      <c r="G240">
        <f t="shared" ca="1" si="15"/>
        <v>3.9872408293459838E-3</v>
      </c>
      <c r="H240">
        <f t="shared" ca="1" si="14"/>
        <v>2.5710925039873498E-3</v>
      </c>
      <c r="I240">
        <f ca="1"/>
        <v>3.1199999999999999E-2</v>
      </c>
      <c r="J240">
        <f ca="1"/>
        <v>22.615110000000001</v>
      </c>
    </row>
    <row r="241" spans="1:10" x14ac:dyDescent="0.25">
      <c r="A241" t="str">
        <v>1989-12-31</v>
      </c>
      <c r="B241">
        <f t="shared" ca="1" si="12"/>
        <v>58.540500158353133</v>
      </c>
      <c r="C241">
        <f ca="1"/>
        <v>126.3</v>
      </c>
      <c r="D241">
        <f ca="1"/>
        <v>7.8399999999999997E-2</v>
      </c>
      <c r="E241">
        <f t="shared" ca="1" si="13"/>
        <v>6.5333333333333328E-3</v>
      </c>
      <c r="F241">
        <f ca="1"/>
        <v>22.87</v>
      </c>
      <c r="G241">
        <f t="shared" ca="1" si="15"/>
        <v>3.1771247021445959E-3</v>
      </c>
      <c r="H241">
        <f t="shared" ca="1" si="14"/>
        <v>3.356208631188737E-3</v>
      </c>
      <c r="I241">
        <f ca="1"/>
        <v>2.92E-2</v>
      </c>
      <c r="J241">
        <f ca="1"/>
        <v>22.861809999999998</v>
      </c>
    </row>
    <row r="242" spans="1:10" x14ac:dyDescent="0.25">
      <c r="A242" t="str">
        <v>1990-01-31</v>
      </c>
      <c r="B242">
        <f t="shared" ca="1" si="12"/>
        <v>57.025996784313719</v>
      </c>
      <c r="C242">
        <f ca="1"/>
        <v>127.5</v>
      </c>
      <c r="D242">
        <f ca="1"/>
        <v>8.2100000000000006E-2</v>
      </c>
      <c r="E242">
        <f t="shared" ca="1" si="13"/>
        <v>6.8416666666666669E-3</v>
      </c>
      <c r="F242">
        <f ca="1"/>
        <v>22.49</v>
      </c>
      <c r="G242">
        <f t="shared" ca="1" si="15"/>
        <v>9.5011876484560887E-3</v>
      </c>
      <c r="H242">
        <f t="shared" ca="1" si="14"/>
        <v>-2.6595209817894217E-3</v>
      </c>
      <c r="I242">
        <f ca="1"/>
        <v>2.7099999999999999E-2</v>
      </c>
      <c r="J242">
        <f ca="1"/>
        <v>22.792210000000001</v>
      </c>
    </row>
    <row r="243" spans="1:10" x14ac:dyDescent="0.25">
      <c r="A243" t="str">
        <v>1990-02-28</v>
      </c>
      <c r="B243">
        <f t="shared" ca="1" si="12"/>
        <v>55.767697499999997</v>
      </c>
      <c r="C243">
        <f ca="1"/>
        <v>128</v>
      </c>
      <c r="D243">
        <f ca="1"/>
        <v>8.4699999999999998E-2</v>
      </c>
      <c r="E243">
        <f t="shared" ca="1" si="13"/>
        <v>7.0583333333333331E-3</v>
      </c>
      <c r="F243">
        <f ca="1"/>
        <v>22.08</v>
      </c>
      <c r="G243">
        <f t="shared" ca="1" si="15"/>
        <v>3.9215686274509665E-3</v>
      </c>
      <c r="H243">
        <f t="shared" ca="1" si="14"/>
        <v>3.1367647058823667E-3</v>
      </c>
      <c r="I243">
        <f ca="1"/>
        <v>2.5499999999999998E-2</v>
      </c>
      <c r="J243">
        <f ca="1"/>
        <v>22.868639999999999</v>
      </c>
    </row>
    <row r="244" spans="1:10" x14ac:dyDescent="0.25">
      <c r="A244" t="str">
        <v>1990-03-31</v>
      </c>
      <c r="B244">
        <f t="shared" ca="1" si="12"/>
        <v>54.476796034214622</v>
      </c>
      <c r="C244">
        <f ca="1"/>
        <v>128.6</v>
      </c>
      <c r="D244">
        <f ca="1"/>
        <v>8.5900000000000004E-2</v>
      </c>
      <c r="E244">
        <f t="shared" ca="1" si="13"/>
        <v>7.1583333333333334E-3</v>
      </c>
      <c r="F244">
        <f ca="1"/>
        <v>21.67</v>
      </c>
      <c r="G244">
        <f t="shared" ca="1" si="15"/>
        <v>4.6874999999999556E-3</v>
      </c>
      <c r="H244">
        <f t="shared" ca="1" si="14"/>
        <v>2.4708333333333778E-3</v>
      </c>
      <c r="I244">
        <f ca="1"/>
        <v>2.2100000000000002E-2</v>
      </c>
      <c r="J244">
        <f ca="1"/>
        <v>22.926539999999999</v>
      </c>
    </row>
    <row r="245" spans="1:10" x14ac:dyDescent="0.25">
      <c r="A245" t="str">
        <v>1990-04-30</v>
      </c>
      <c r="B245">
        <f t="shared" ca="1" si="12"/>
        <v>54.007153532195495</v>
      </c>
      <c r="C245">
        <f ca="1"/>
        <v>128.9</v>
      </c>
      <c r="D245">
        <f ca="1"/>
        <v>8.7900000000000006E-2</v>
      </c>
      <c r="E245">
        <f t="shared" ca="1" si="13"/>
        <v>7.3250000000000008E-3</v>
      </c>
      <c r="F245">
        <f ca="1"/>
        <v>21.533300000000001</v>
      </c>
      <c r="G245">
        <f t="shared" ca="1" si="15"/>
        <v>2.332814930015692E-3</v>
      </c>
      <c r="H245">
        <f t="shared" ca="1" si="14"/>
        <v>4.9921850699843088E-3</v>
      </c>
      <c r="I245">
        <f ca="1"/>
        <v>1.9099999999999999E-2</v>
      </c>
      <c r="J245">
        <f ca="1"/>
        <v>23.126950000000001</v>
      </c>
    </row>
    <row r="246" spans="1:10" x14ac:dyDescent="0.25">
      <c r="A246" t="str">
        <v>1990-05-31</v>
      </c>
      <c r="B246">
        <f t="shared" ca="1" si="12"/>
        <v>53.581413940356306</v>
      </c>
      <c r="C246">
        <f ca="1"/>
        <v>129.1</v>
      </c>
      <c r="D246">
        <f ca="1"/>
        <v>8.7599999999999997E-2</v>
      </c>
      <c r="E246">
        <f t="shared" ca="1" si="13"/>
        <v>7.3000000000000001E-3</v>
      </c>
      <c r="F246">
        <f ca="1"/>
        <v>21.396699999999999</v>
      </c>
      <c r="G246">
        <f t="shared" ca="1" si="15"/>
        <v>1.5515903801395226E-3</v>
      </c>
      <c r="H246">
        <f t="shared" ca="1" si="14"/>
        <v>5.7484096198604775E-3</v>
      </c>
      <c r="I246">
        <f ca="1"/>
        <v>1.67E-2</v>
      </c>
      <c r="J246">
        <f ca="1"/>
        <v>23.308489999999999</v>
      </c>
    </row>
    <row r="247" spans="1:10" x14ac:dyDescent="0.25">
      <c r="A247" t="str">
        <v>1990-06-30</v>
      </c>
      <c r="B247">
        <f t="shared" ca="1" si="12"/>
        <v>52.91121370284835</v>
      </c>
      <c r="C247">
        <f ca="1"/>
        <v>129.9</v>
      </c>
      <c r="D247">
        <f ca="1"/>
        <v>8.48E-2</v>
      </c>
      <c r="E247">
        <f t="shared" ca="1" si="13"/>
        <v>7.0666666666666664E-3</v>
      </c>
      <c r="F247">
        <f ca="1"/>
        <v>21.26</v>
      </c>
      <c r="G247">
        <f t="shared" ca="1" si="15"/>
        <v>6.1967467079784289E-3</v>
      </c>
      <c r="H247">
        <f t="shared" ca="1" si="14"/>
        <v>8.6991995868823755E-4</v>
      </c>
      <c r="I247">
        <f ca="1"/>
        <v>1.7500000000000002E-2</v>
      </c>
      <c r="J247">
        <f ca="1"/>
        <v>23.396989999999999</v>
      </c>
    </row>
    <row r="248" spans="1:10" x14ac:dyDescent="0.25">
      <c r="A248" t="str">
        <v>1990-07-31</v>
      </c>
      <c r="B248">
        <f t="shared" ca="1" si="12"/>
        <v>53.064315862068973</v>
      </c>
      <c r="C248">
        <f ca="1"/>
        <v>130.5</v>
      </c>
      <c r="D248">
        <f ca="1"/>
        <v>8.4699999999999998E-2</v>
      </c>
      <c r="E248">
        <f t="shared" ca="1" si="13"/>
        <v>7.0583333333333331E-3</v>
      </c>
      <c r="F248">
        <f ca="1"/>
        <v>21.42</v>
      </c>
      <c r="G248">
        <f t="shared" ca="1" si="15"/>
        <v>4.6189376443417363E-3</v>
      </c>
      <c r="H248">
        <f t="shared" ca="1" si="14"/>
        <v>2.4393956889915969E-3</v>
      </c>
      <c r="I248">
        <f ca="1"/>
        <v>1.8200000000000001E-2</v>
      </c>
      <c r="J248">
        <f ca="1"/>
        <v>23.44061</v>
      </c>
    </row>
    <row r="249" spans="1:10" x14ac:dyDescent="0.25">
      <c r="A249" t="str">
        <v>1990-08-31</v>
      </c>
      <c r="B249">
        <f t="shared" ca="1" si="12"/>
        <v>53.013828115501518</v>
      </c>
      <c r="C249">
        <f ca="1"/>
        <v>131.6</v>
      </c>
      <c r="D249">
        <f ca="1"/>
        <v>8.7499999999999994E-2</v>
      </c>
      <c r="E249">
        <f t="shared" ca="1" si="13"/>
        <v>7.2916666666666659E-3</v>
      </c>
      <c r="F249">
        <f ca="1"/>
        <v>21.58</v>
      </c>
      <c r="G249">
        <f t="shared" ca="1" si="15"/>
        <v>8.4291187739462536E-3</v>
      </c>
      <c r="H249">
        <f t="shared" ca="1" si="14"/>
        <v>-1.1374521072795877E-3</v>
      </c>
      <c r="I249">
        <f ca="1"/>
        <v>2.1100000000000001E-2</v>
      </c>
      <c r="J249">
        <f ca="1"/>
        <v>23.33897</v>
      </c>
    </row>
    <row r="250" spans="1:10" x14ac:dyDescent="0.25">
      <c r="A250" t="str">
        <v>1990-09-30</v>
      </c>
      <c r="B250">
        <f t="shared" ca="1" si="12"/>
        <v>53.044123320754707</v>
      </c>
      <c r="C250">
        <f ca="1"/>
        <v>132.5</v>
      </c>
      <c r="D250">
        <f ca="1"/>
        <v>8.8900000000000007E-2</v>
      </c>
      <c r="E250">
        <f t="shared" ca="1" si="13"/>
        <v>7.4083333333333336E-3</v>
      </c>
      <c r="F250">
        <f ca="1"/>
        <v>21.74</v>
      </c>
      <c r="G250">
        <f t="shared" ca="1" si="15"/>
        <v>6.8389057750759541E-3</v>
      </c>
      <c r="H250">
        <f t="shared" ca="1" si="14"/>
        <v>5.6942755825737951E-4</v>
      </c>
      <c r="I250">
        <f ca="1"/>
        <v>2.3199999999999998E-2</v>
      </c>
      <c r="J250">
        <f ca="1"/>
        <v>23.23724</v>
      </c>
    </row>
    <row r="251" spans="1:10" x14ac:dyDescent="0.25">
      <c r="A251" t="str">
        <v>1990-10-31</v>
      </c>
      <c r="B251">
        <f t="shared" ca="1" si="12"/>
        <v>52.363205769865061</v>
      </c>
      <c r="C251">
        <f ca="1"/>
        <v>133.4</v>
      </c>
      <c r="D251">
        <f ca="1"/>
        <v>8.72E-2</v>
      </c>
      <c r="E251">
        <f t="shared" ca="1" si="13"/>
        <v>7.2666666666666669E-3</v>
      </c>
      <c r="F251">
        <f ca="1"/>
        <v>21.6067</v>
      </c>
      <c r="G251">
        <f t="shared" ca="1" si="15"/>
        <v>6.792452830188811E-3</v>
      </c>
      <c r="H251">
        <f t="shared" ca="1" si="14"/>
        <v>4.7421383647785597E-4</v>
      </c>
      <c r="I251">
        <f ca="1"/>
        <v>2.6700000000000002E-2</v>
      </c>
      <c r="J251">
        <f ca="1"/>
        <v>23.28679</v>
      </c>
    </row>
    <row r="252" spans="1:10" x14ac:dyDescent="0.25">
      <c r="A252" t="str">
        <v>1990-11-30</v>
      </c>
      <c r="B252">
        <f t="shared" ca="1" si="12"/>
        <v>51.923146075542263</v>
      </c>
      <c r="C252">
        <f ca="1"/>
        <v>133.69999999999999</v>
      </c>
      <c r="D252">
        <f ca="1"/>
        <v>8.3900000000000002E-2</v>
      </c>
      <c r="E252">
        <f t="shared" ca="1" si="13"/>
        <v>6.9916666666666669E-3</v>
      </c>
      <c r="F252">
        <f ca="1"/>
        <v>21.473299999999998</v>
      </c>
      <c r="G252">
        <f t="shared" ca="1" si="15"/>
        <v>2.2488755622187551E-3</v>
      </c>
      <c r="H252">
        <f t="shared" ca="1" si="14"/>
        <v>4.7427911044479118E-3</v>
      </c>
      <c r="I252">
        <f ca="1"/>
        <v>2.7699999999999999E-2</v>
      </c>
      <c r="J252">
        <f ca="1"/>
        <v>23.403289999999998</v>
      </c>
    </row>
    <row r="253" spans="1:10" x14ac:dyDescent="0.25">
      <c r="A253" t="str">
        <v>1990-12-31</v>
      </c>
      <c r="B253">
        <f t="shared" ca="1" si="12"/>
        <v>51.40856885245902</v>
      </c>
      <c r="C253">
        <f ca="1"/>
        <v>134.19999999999999</v>
      </c>
      <c r="D253">
        <f ca="1"/>
        <v>8.0799999999999997E-2</v>
      </c>
      <c r="E253">
        <f t="shared" ca="1" si="13"/>
        <v>6.7333333333333334E-3</v>
      </c>
      <c r="F253">
        <f ca="1"/>
        <v>21.34</v>
      </c>
      <c r="G253">
        <f t="shared" ca="1" si="15"/>
        <v>3.7397157816005944E-3</v>
      </c>
      <c r="H253">
        <f t="shared" ca="1" si="14"/>
        <v>2.993617551732739E-3</v>
      </c>
      <c r="I253">
        <f ca="1"/>
        <v>2.7099999999999999E-2</v>
      </c>
      <c r="J253">
        <f ca="1"/>
        <v>23.552710000000001</v>
      </c>
    </row>
    <row r="254" spans="1:10" x14ac:dyDescent="0.25">
      <c r="A254" t="str">
        <v>1991-01-31</v>
      </c>
      <c r="B254">
        <f t="shared" ca="1" si="12"/>
        <v>50.841649890868602</v>
      </c>
      <c r="C254">
        <f ca="1"/>
        <v>134.69999999999999</v>
      </c>
      <c r="D254">
        <f ca="1"/>
        <v>8.09E-2</v>
      </c>
      <c r="E254">
        <f t="shared" ca="1" si="13"/>
        <v>6.7416666666666666E-3</v>
      </c>
      <c r="F254">
        <f ca="1"/>
        <v>21.183299999999999</v>
      </c>
      <c r="G254">
        <f t="shared" ca="1" si="15"/>
        <v>3.7257824143070994E-3</v>
      </c>
      <c r="H254">
        <f t="shared" ca="1" si="14"/>
        <v>3.0158842523595672E-3</v>
      </c>
      <c r="I254">
        <f ca="1"/>
        <v>2.7799999999999998E-2</v>
      </c>
      <c r="J254">
        <f ca="1"/>
        <v>23.445060000000002</v>
      </c>
    </row>
    <row r="255" spans="1:10" x14ac:dyDescent="0.25">
      <c r="A255" t="str">
        <v>1991-02-28</v>
      </c>
      <c r="B255">
        <f t="shared" ca="1" si="12"/>
        <v>50.428359567507421</v>
      </c>
      <c r="C255">
        <f ca="1"/>
        <v>134.80000000000001</v>
      </c>
      <c r="D255">
        <f ca="1"/>
        <v>7.85E-2</v>
      </c>
      <c r="E255">
        <f t="shared" ca="1" si="13"/>
        <v>6.541666666666667E-3</v>
      </c>
      <c r="F255">
        <f ca="1"/>
        <v>21.026700000000002</v>
      </c>
      <c r="G255">
        <f t="shared" ca="1" si="15"/>
        <v>7.423904974017681E-4</v>
      </c>
      <c r="H255">
        <f t="shared" ca="1" si="14"/>
        <v>5.7992761692648989E-3</v>
      </c>
      <c r="I255">
        <f ca="1"/>
        <v>2.2800000000000001E-2</v>
      </c>
      <c r="J255">
        <f ca="1"/>
        <v>23.42304</v>
      </c>
    </row>
    <row r="256" spans="1:10" x14ac:dyDescent="0.25">
      <c r="A256" t="str">
        <v>1991-03-31</v>
      </c>
      <c r="B256">
        <f t="shared" ca="1" si="12"/>
        <v>50.22042685459941</v>
      </c>
      <c r="C256">
        <f ca="1"/>
        <v>134.80000000000001</v>
      </c>
      <c r="D256">
        <f ca="1"/>
        <v>8.1100000000000005E-2</v>
      </c>
      <c r="E256">
        <f t="shared" ca="1" si="13"/>
        <v>6.7583333333333341E-3</v>
      </c>
      <c r="F256">
        <f ca="1"/>
        <v>20.94</v>
      </c>
      <c r="G256">
        <f t="shared" ca="1" si="15"/>
        <v>0</v>
      </c>
      <c r="H256">
        <f t="shared" ca="1" si="14"/>
        <v>6.7583333333333341E-3</v>
      </c>
      <c r="I256">
        <f ca="1"/>
        <v>1.8200000000000001E-2</v>
      </c>
      <c r="J256">
        <f ca="1"/>
        <v>23.381969999999999</v>
      </c>
    </row>
    <row r="257" spans="1:10" x14ac:dyDescent="0.25">
      <c r="A257" t="str">
        <v>1991-04-30</v>
      </c>
      <c r="B257">
        <f t="shared" ca="1" si="12"/>
        <v>48.728879498889711</v>
      </c>
      <c r="C257">
        <f ca="1"/>
        <v>135.1</v>
      </c>
      <c r="D257">
        <f ca="1"/>
        <v>8.0399999999999999E-2</v>
      </c>
      <c r="E257">
        <f t="shared" ca="1" si="13"/>
        <v>6.7000000000000002E-3</v>
      </c>
      <c r="F257">
        <f ca="1"/>
        <v>20.363299999999999</v>
      </c>
      <c r="G257">
        <f t="shared" ca="1" si="15"/>
        <v>2.225519287833766E-3</v>
      </c>
      <c r="H257">
        <f t="shared" ca="1" si="14"/>
        <v>4.4744807121662343E-3</v>
      </c>
      <c r="I257">
        <f ca="1"/>
        <v>1.7299999999999999E-2</v>
      </c>
      <c r="J257">
        <f ca="1"/>
        <v>23.385940000000002</v>
      </c>
    </row>
    <row r="258" spans="1:10" x14ac:dyDescent="0.25">
      <c r="A258" t="str">
        <v>1991-05-31</v>
      </c>
      <c r="B258">
        <f t="shared" ref="B258:B321" ca="1" si="16">F258*$C$669/C258</f>
        <v>47.341389378318581</v>
      </c>
      <c r="C258">
        <f ca="1"/>
        <v>135.6</v>
      </c>
      <c r="D258">
        <f ca="1"/>
        <v>8.0699999999999994E-2</v>
      </c>
      <c r="E258">
        <f t="shared" ca="1" si="13"/>
        <v>6.7249999999999992E-3</v>
      </c>
      <c r="F258">
        <f ca="1"/>
        <v>19.8567</v>
      </c>
      <c r="G258">
        <f t="shared" ca="1" si="15"/>
        <v>3.7009622501851247E-3</v>
      </c>
      <c r="H258">
        <f t="shared" ca="1" si="14"/>
        <v>3.0240377498148745E-3</v>
      </c>
      <c r="I258">
        <f ca="1"/>
        <v>1.6799999999999999E-2</v>
      </c>
      <c r="J258">
        <f ca="1"/>
        <v>23.336169999999999</v>
      </c>
    </row>
    <row r="259" spans="1:10" x14ac:dyDescent="0.25">
      <c r="A259" t="str">
        <v>1991-06-30</v>
      </c>
      <c r="B259">
        <f t="shared" ca="1" si="16"/>
        <v>46.140281691176469</v>
      </c>
      <c r="C259">
        <f ca="1"/>
        <v>136</v>
      </c>
      <c r="D259">
        <f ca="1"/>
        <v>8.2799999999999999E-2</v>
      </c>
      <c r="E259">
        <f t="shared" ref="E259:E322" ca="1" si="17">D259/12</f>
        <v>6.8999999999999999E-3</v>
      </c>
      <c r="F259">
        <f ca="1"/>
        <v>19.41</v>
      </c>
      <c r="G259">
        <f t="shared" ca="1" si="15"/>
        <v>2.9498525073747839E-3</v>
      </c>
      <c r="H259">
        <f t="shared" ref="H259:H322" ca="1" si="18">E259-G259</f>
        <v>3.950147492625216E-3</v>
      </c>
      <c r="I259">
        <f ca="1"/>
        <v>1.4200000000000001E-2</v>
      </c>
      <c r="J259">
        <f ca="1"/>
        <v>23.2867</v>
      </c>
    </row>
    <row r="260" spans="1:10" x14ac:dyDescent="0.25">
      <c r="A260" t="str">
        <v>1991-07-31</v>
      </c>
      <c r="B260">
        <f t="shared" ca="1" si="16"/>
        <v>44.719548017621143</v>
      </c>
      <c r="C260">
        <f ca="1"/>
        <v>136.19999999999999</v>
      </c>
      <c r="D260">
        <f ca="1"/>
        <v>8.2699999999999996E-2</v>
      </c>
      <c r="E260">
        <f t="shared" ca="1" si="17"/>
        <v>6.8916666666666666E-3</v>
      </c>
      <c r="F260">
        <f ca="1"/>
        <v>18.84</v>
      </c>
      <c r="G260">
        <f t="shared" ref="G260:G323" ca="1" si="19">C260/C259-1</f>
        <v>1.4705882352941124E-3</v>
      </c>
      <c r="H260">
        <f t="shared" ca="1" si="18"/>
        <v>5.4210784313725542E-3</v>
      </c>
      <c r="I260">
        <f ca="1"/>
        <v>1.2999999999999999E-2</v>
      </c>
      <c r="J260">
        <f ca="1"/>
        <v>23.335380000000001</v>
      </c>
    </row>
    <row r="261" spans="1:10" x14ac:dyDescent="0.25">
      <c r="A261" t="str">
        <v>1991-08-31</v>
      </c>
      <c r="B261">
        <f t="shared" ca="1" si="16"/>
        <v>43.38158147877013</v>
      </c>
      <c r="C261">
        <f ca="1"/>
        <v>136.6</v>
      </c>
      <c r="D261">
        <f ca="1"/>
        <v>7.9000000000000001E-2</v>
      </c>
      <c r="E261">
        <f t="shared" ca="1" si="17"/>
        <v>6.5833333333333334E-3</v>
      </c>
      <c r="F261">
        <f ca="1"/>
        <v>18.329999999999998</v>
      </c>
      <c r="G261">
        <f t="shared" ca="1" si="19"/>
        <v>2.936857562408246E-3</v>
      </c>
      <c r="H261">
        <f t="shared" ca="1" si="18"/>
        <v>3.6464757709250874E-3</v>
      </c>
      <c r="I261">
        <f ca="1"/>
        <v>1.4999999999999999E-2</v>
      </c>
      <c r="J261">
        <f ca="1"/>
        <v>23.34986</v>
      </c>
    </row>
    <row r="262" spans="1:10" x14ac:dyDescent="0.25">
      <c r="A262" t="str">
        <v>1991-09-30</v>
      </c>
      <c r="B262">
        <f t="shared" ca="1" si="16"/>
        <v>42.05142788321168</v>
      </c>
      <c r="C262">
        <f ca="1"/>
        <v>137</v>
      </c>
      <c r="D262">
        <f ca="1"/>
        <v>7.6499999999999999E-2</v>
      </c>
      <c r="E262">
        <f t="shared" ca="1" si="17"/>
        <v>6.3749999999999996E-3</v>
      </c>
      <c r="F262">
        <f ca="1"/>
        <v>17.82</v>
      </c>
      <c r="G262">
        <f t="shared" ca="1" si="19"/>
        <v>2.9282576866764831E-3</v>
      </c>
      <c r="H262">
        <f t="shared" ca="1" si="18"/>
        <v>3.4467423133235165E-3</v>
      </c>
      <c r="I262">
        <f ca="1"/>
        <v>1.7399999999999999E-2</v>
      </c>
      <c r="J262">
        <f ca="1"/>
        <v>23.330010000000001</v>
      </c>
    </row>
    <row r="263" spans="1:10" x14ac:dyDescent="0.25">
      <c r="A263" t="str">
        <v>1991-10-31</v>
      </c>
      <c r="B263">
        <f t="shared" ca="1" si="16"/>
        <v>40.536968369533525</v>
      </c>
      <c r="C263">
        <f ca="1"/>
        <v>137.19999999999999</v>
      </c>
      <c r="D263">
        <f ca="1"/>
        <v>7.5300000000000006E-2</v>
      </c>
      <c r="E263">
        <f t="shared" ca="1" si="17"/>
        <v>6.2750000000000002E-3</v>
      </c>
      <c r="F263">
        <f ca="1"/>
        <v>17.203299999999999</v>
      </c>
      <c r="G263">
        <f t="shared" ca="1" si="19"/>
        <v>1.4598540145984717E-3</v>
      </c>
      <c r="H263">
        <f t="shared" ca="1" si="18"/>
        <v>4.8151459854015284E-3</v>
      </c>
      <c r="I263">
        <f ca="1"/>
        <v>1.8599999999999998E-2</v>
      </c>
      <c r="J263">
        <f ca="1"/>
        <v>23.2454</v>
      </c>
    </row>
    <row r="264" spans="1:10" x14ac:dyDescent="0.25">
      <c r="A264" t="str">
        <v>1991-11-30</v>
      </c>
      <c r="B264">
        <f t="shared" ca="1" si="16"/>
        <v>38.913866688679242</v>
      </c>
      <c r="C264">
        <f ca="1"/>
        <v>137.80000000000001</v>
      </c>
      <c r="D264">
        <f ca="1"/>
        <v>7.4200000000000002E-2</v>
      </c>
      <c r="E264">
        <f t="shared" ca="1" si="17"/>
        <v>6.1833333333333332E-3</v>
      </c>
      <c r="F264">
        <f ca="1"/>
        <v>16.5867</v>
      </c>
      <c r="G264">
        <f t="shared" ca="1" si="19"/>
        <v>4.3731778425657453E-3</v>
      </c>
      <c r="H264">
        <f t="shared" ca="1" si="18"/>
        <v>1.810155490767588E-3</v>
      </c>
      <c r="I264">
        <f ca="1"/>
        <v>1.9800000000000002E-2</v>
      </c>
      <c r="J264">
        <f ca="1"/>
        <v>23.127610000000001</v>
      </c>
    </row>
    <row r="265" spans="1:10" x14ac:dyDescent="0.25">
      <c r="A265" t="str">
        <v>1991-12-31</v>
      </c>
      <c r="B265">
        <f t="shared" ca="1" si="16"/>
        <v>37.358590955137487</v>
      </c>
      <c r="C265">
        <f ca="1"/>
        <v>138.19999999999999</v>
      </c>
      <c r="D265">
        <f ca="1"/>
        <v>7.0900000000000005E-2</v>
      </c>
      <c r="E265">
        <f t="shared" ca="1" si="17"/>
        <v>5.908333333333334E-3</v>
      </c>
      <c r="F265">
        <f ca="1"/>
        <v>15.97</v>
      </c>
      <c r="G265">
        <f t="shared" ca="1" si="19"/>
        <v>2.9027576197386828E-3</v>
      </c>
      <c r="H265">
        <f t="shared" ca="1" si="18"/>
        <v>3.0055757135946512E-3</v>
      </c>
      <c r="I265">
        <f ca="1"/>
        <v>2.24E-2</v>
      </c>
      <c r="J265">
        <f ca="1"/>
        <v>23.060369999999999</v>
      </c>
    </row>
    <row r="266" spans="1:10" x14ac:dyDescent="0.25">
      <c r="A266" t="str">
        <v>1992-01-31</v>
      </c>
      <c r="B266">
        <f t="shared" ca="1" si="16"/>
        <v>37.510872665943594</v>
      </c>
      <c r="C266">
        <f ca="1"/>
        <v>138.30000000000001</v>
      </c>
      <c r="D266">
        <f ca="1"/>
        <v>7.0300000000000001E-2</v>
      </c>
      <c r="E266">
        <f t="shared" ca="1" si="17"/>
        <v>5.8583333333333334E-3</v>
      </c>
      <c r="F266">
        <f ca="1"/>
        <v>16.046700000000001</v>
      </c>
      <c r="G266">
        <f t="shared" ca="1" si="19"/>
        <v>7.2358900144742222E-4</v>
      </c>
      <c r="H266">
        <f t="shared" ca="1" si="18"/>
        <v>5.1347443318859112E-3</v>
      </c>
      <c r="I266">
        <f ca="1"/>
        <v>1.9199999999999998E-2</v>
      </c>
      <c r="J266">
        <f ca="1"/>
        <v>23.10247</v>
      </c>
    </row>
    <row r="267" spans="1:10" x14ac:dyDescent="0.25">
      <c r="A267" t="str">
        <v>1992-02-29</v>
      </c>
      <c r="B267">
        <f t="shared" ca="1" si="16"/>
        <v>37.60835339321789</v>
      </c>
      <c r="C267">
        <f ca="1"/>
        <v>138.6</v>
      </c>
      <c r="D267">
        <f ca="1"/>
        <v>7.3400000000000007E-2</v>
      </c>
      <c r="E267">
        <f t="shared" ca="1" si="17"/>
        <v>6.116666666666667E-3</v>
      </c>
      <c r="F267">
        <f ca="1"/>
        <v>16.1233</v>
      </c>
      <c r="G267">
        <f t="shared" ca="1" si="19"/>
        <v>2.1691973969630851E-3</v>
      </c>
      <c r="H267">
        <f t="shared" ca="1" si="18"/>
        <v>3.9474692697035818E-3</v>
      </c>
      <c r="I267">
        <f ca="1"/>
        <v>1.66E-2</v>
      </c>
      <c r="J267">
        <f ca="1"/>
        <v>23.094349999999999</v>
      </c>
    </row>
    <row r="268" spans="1:10" x14ac:dyDescent="0.25">
      <c r="A268" t="str">
        <v>1992-03-31</v>
      </c>
      <c r="B268">
        <f t="shared" ca="1" si="16"/>
        <v>37.62819043853343</v>
      </c>
      <c r="C268">
        <f ca="1"/>
        <v>139.1</v>
      </c>
      <c r="D268">
        <f ca="1"/>
        <v>7.5399999999999995E-2</v>
      </c>
      <c r="E268">
        <f t="shared" ca="1" si="17"/>
        <v>6.2833333333333326E-3</v>
      </c>
      <c r="F268">
        <f ca="1"/>
        <v>16.190000000000001</v>
      </c>
      <c r="G268">
        <f t="shared" ca="1" si="19"/>
        <v>3.6075036075036149E-3</v>
      </c>
      <c r="H268">
        <f t="shared" ca="1" si="18"/>
        <v>2.6758297258297177E-3</v>
      </c>
      <c r="I268">
        <f ca="1"/>
        <v>1.6E-2</v>
      </c>
      <c r="J268">
        <f ca="1"/>
        <v>23.053149999999999</v>
      </c>
    </row>
    <row r="269" spans="1:10" x14ac:dyDescent="0.25">
      <c r="A269" t="str">
        <v>1992-04-30</v>
      </c>
      <c r="B269">
        <f t="shared" ca="1" si="16"/>
        <v>38.227421379483495</v>
      </c>
      <c r="C269">
        <f ca="1"/>
        <v>139.4</v>
      </c>
      <c r="D269">
        <f ca="1"/>
        <v>7.4800000000000005E-2</v>
      </c>
      <c r="E269">
        <f t="shared" ca="1" si="17"/>
        <v>6.2333333333333338E-3</v>
      </c>
      <c r="F269">
        <f ca="1"/>
        <v>16.4833</v>
      </c>
      <c r="G269">
        <f t="shared" ca="1" si="19"/>
        <v>2.1567217828901697E-3</v>
      </c>
      <c r="H269">
        <f t="shared" ca="1" si="18"/>
        <v>4.0766115504431641E-3</v>
      </c>
      <c r="I269">
        <f ca="1"/>
        <v>1.6299999999999999E-2</v>
      </c>
      <c r="J269">
        <f ca="1"/>
        <v>23.020099999999999</v>
      </c>
    </row>
    <row r="270" spans="1:10" x14ac:dyDescent="0.25">
      <c r="A270" t="str">
        <v>1992-05-31</v>
      </c>
      <c r="B270">
        <f t="shared" ca="1" si="16"/>
        <v>38.801168287043666</v>
      </c>
      <c r="C270">
        <f ca="1"/>
        <v>139.69999999999999</v>
      </c>
      <c r="D270">
        <f ca="1"/>
        <v>7.3899999999999993E-2</v>
      </c>
      <c r="E270">
        <f t="shared" ca="1" si="17"/>
        <v>6.1583333333333325E-3</v>
      </c>
      <c r="F270">
        <f ca="1"/>
        <v>16.7667</v>
      </c>
      <c r="G270">
        <f t="shared" ca="1" si="19"/>
        <v>2.1520803443326741E-3</v>
      </c>
      <c r="H270">
        <f t="shared" ca="1" si="18"/>
        <v>4.0062529890006584E-3</v>
      </c>
      <c r="I270">
        <f ca="1"/>
        <v>1.54E-2</v>
      </c>
      <c r="J270">
        <f ca="1"/>
        <v>22.98714</v>
      </c>
    </row>
    <row r="271" spans="1:10" x14ac:dyDescent="0.25">
      <c r="A271" t="str">
        <v>1992-06-30</v>
      </c>
      <c r="B271">
        <f t="shared" ca="1" si="16"/>
        <v>39.344122412562463</v>
      </c>
      <c r="C271">
        <f ca="1"/>
        <v>140.1</v>
      </c>
      <c r="D271">
        <f ca="1"/>
        <v>7.2599999999999998E-2</v>
      </c>
      <c r="E271">
        <f t="shared" ca="1" si="17"/>
        <v>6.0499999999999998E-3</v>
      </c>
      <c r="F271">
        <f ca="1"/>
        <v>17.05</v>
      </c>
      <c r="G271">
        <f t="shared" ca="1" si="19"/>
        <v>2.8632784538296097E-3</v>
      </c>
      <c r="H271">
        <f t="shared" ca="1" si="18"/>
        <v>3.1867215461703902E-3</v>
      </c>
      <c r="I271">
        <f ca="1"/>
        <v>1.67E-2</v>
      </c>
      <c r="J271">
        <f ca="1"/>
        <v>22.905159999999999</v>
      </c>
    </row>
    <row r="272" spans="1:10" x14ac:dyDescent="0.25">
      <c r="A272" t="str">
        <v>1992-07-31</v>
      </c>
      <c r="B272">
        <f t="shared" ca="1" si="16"/>
        <v>39.991441850533803</v>
      </c>
      <c r="C272">
        <f ca="1"/>
        <v>140.5</v>
      </c>
      <c r="D272">
        <f ca="1"/>
        <v>6.8400000000000002E-2</v>
      </c>
      <c r="E272">
        <f t="shared" ca="1" si="17"/>
        <v>5.7000000000000002E-3</v>
      </c>
      <c r="F272">
        <f ca="1"/>
        <v>17.38</v>
      </c>
      <c r="G272">
        <f t="shared" ca="1" si="19"/>
        <v>2.855103497501732E-3</v>
      </c>
      <c r="H272">
        <f t="shared" ca="1" si="18"/>
        <v>2.8448965024982682E-3</v>
      </c>
      <c r="I272">
        <f ca="1"/>
        <v>1.9800000000000002E-2</v>
      </c>
      <c r="J272">
        <f ca="1"/>
        <v>22.899480000000001</v>
      </c>
    </row>
    <row r="273" spans="1:10" x14ac:dyDescent="0.25">
      <c r="A273" t="str">
        <v>1992-08-31</v>
      </c>
      <c r="B273">
        <f t="shared" ca="1" si="16"/>
        <v>40.663946093749999</v>
      </c>
      <c r="C273">
        <f ca="1"/>
        <v>140.80000000000001</v>
      </c>
      <c r="D273">
        <f ca="1"/>
        <v>6.59E-2</v>
      </c>
      <c r="E273">
        <f t="shared" ca="1" si="17"/>
        <v>5.4916666666666664E-3</v>
      </c>
      <c r="F273">
        <f ca="1"/>
        <v>17.71</v>
      </c>
      <c r="G273">
        <f t="shared" ca="1" si="19"/>
        <v>2.135231316725994E-3</v>
      </c>
      <c r="H273">
        <f t="shared" ca="1" si="18"/>
        <v>3.3564353499406724E-3</v>
      </c>
      <c r="I273">
        <f ca="1"/>
        <v>2.2100000000000002E-2</v>
      </c>
      <c r="J273">
        <f ca="1"/>
        <v>22.877759999999999</v>
      </c>
    </row>
    <row r="274" spans="1:10" x14ac:dyDescent="0.25">
      <c r="A274" t="str">
        <v>1992-09-30</v>
      </c>
      <c r="B274">
        <f t="shared" ca="1" si="16"/>
        <v>41.333590644932677</v>
      </c>
      <c r="C274">
        <f ca="1"/>
        <v>141.1</v>
      </c>
      <c r="D274">
        <f ca="1"/>
        <v>6.4199999999999993E-2</v>
      </c>
      <c r="E274">
        <f t="shared" ca="1" si="17"/>
        <v>5.3499999999999997E-3</v>
      </c>
      <c r="F274">
        <f ca="1"/>
        <v>18.04</v>
      </c>
      <c r="G274">
        <f t="shared" ca="1" si="19"/>
        <v>2.1306818181816567E-3</v>
      </c>
      <c r="H274">
        <f t="shared" ca="1" si="18"/>
        <v>3.219318181818343E-3</v>
      </c>
      <c r="I274">
        <f ca="1"/>
        <v>2.3900000000000001E-2</v>
      </c>
      <c r="J274">
        <f ca="1"/>
        <v>22.874420000000001</v>
      </c>
    </row>
    <row r="275" spans="1:10" x14ac:dyDescent="0.25">
      <c r="A275" t="str">
        <v>1992-10-31</v>
      </c>
      <c r="B275">
        <f t="shared" ca="1" si="16"/>
        <v>41.957102964008477</v>
      </c>
      <c r="C275">
        <f ca="1"/>
        <v>141.69999999999999</v>
      </c>
      <c r="D275">
        <f ca="1"/>
        <v>6.59E-2</v>
      </c>
      <c r="E275">
        <f t="shared" ca="1" si="17"/>
        <v>5.4916666666666664E-3</v>
      </c>
      <c r="F275">
        <f ca="1"/>
        <v>18.39</v>
      </c>
      <c r="G275">
        <f t="shared" ca="1" si="19"/>
        <v>4.2523033309709302E-3</v>
      </c>
      <c r="H275">
        <f t="shared" ca="1" si="18"/>
        <v>1.2393633356957362E-3</v>
      </c>
      <c r="I275">
        <f ca="1"/>
        <v>2.3099999999999999E-2</v>
      </c>
      <c r="J275">
        <f ca="1"/>
        <v>22.76932</v>
      </c>
    </row>
    <row r="276" spans="1:10" x14ac:dyDescent="0.25">
      <c r="A276" t="str">
        <v>1992-11-30</v>
      </c>
      <c r="B276">
        <f t="shared" ca="1" si="16"/>
        <v>42.635280365939479</v>
      </c>
      <c r="C276">
        <f ca="1"/>
        <v>142.1</v>
      </c>
      <c r="D276">
        <f ca="1"/>
        <v>6.8699999999999997E-2</v>
      </c>
      <c r="E276">
        <f t="shared" ca="1" si="17"/>
        <v>5.7250000000000001E-3</v>
      </c>
      <c r="F276">
        <f ca="1"/>
        <v>18.739999999999998</v>
      </c>
      <c r="G276">
        <f t="shared" ca="1" si="19"/>
        <v>2.8228652081863093E-3</v>
      </c>
      <c r="H276">
        <f t="shared" ca="1" si="18"/>
        <v>2.9021347918136908E-3</v>
      </c>
      <c r="I276">
        <f ca="1"/>
        <v>1.95E-2</v>
      </c>
      <c r="J276">
        <f ca="1"/>
        <v>22.731010000000001</v>
      </c>
    </row>
    <row r="277" spans="1:10" x14ac:dyDescent="0.25">
      <c r="A277" t="str">
        <v>1992-12-31</v>
      </c>
      <c r="B277">
        <f t="shared" ca="1" si="16"/>
        <v>43.370521363316932</v>
      </c>
      <c r="C277">
        <f ca="1"/>
        <v>142.30000000000001</v>
      </c>
      <c r="D277">
        <f ca="1"/>
        <v>6.7699999999999996E-2</v>
      </c>
      <c r="E277">
        <f t="shared" ca="1" si="17"/>
        <v>5.6416666666666664E-3</v>
      </c>
      <c r="F277">
        <f ca="1"/>
        <v>19.09</v>
      </c>
      <c r="G277">
        <f t="shared" ca="1" si="19"/>
        <v>1.4074595355384467E-3</v>
      </c>
      <c r="H277">
        <f t="shared" ca="1" si="18"/>
        <v>4.2342071311282196E-3</v>
      </c>
      <c r="I277">
        <f ca="1"/>
        <v>1.9300000000000001E-2</v>
      </c>
      <c r="J277">
        <f ca="1"/>
        <v>22.759329999999999</v>
      </c>
    </row>
    <row r="278" spans="1:10" x14ac:dyDescent="0.25">
      <c r="A278" t="str">
        <v>1993-01-31</v>
      </c>
      <c r="B278">
        <f t="shared" ca="1" si="16"/>
        <v>43.784649439775905</v>
      </c>
      <c r="C278">
        <f ca="1"/>
        <v>142.80000000000001</v>
      </c>
      <c r="D278">
        <f ca="1"/>
        <v>6.6000000000000003E-2</v>
      </c>
      <c r="E278">
        <f t="shared" ca="1" si="17"/>
        <v>5.5000000000000005E-3</v>
      </c>
      <c r="F278">
        <f ca="1"/>
        <v>19.34</v>
      </c>
      <c r="G278">
        <f t="shared" ca="1" si="19"/>
        <v>3.5137034434293835E-3</v>
      </c>
      <c r="H278">
        <f t="shared" ca="1" si="18"/>
        <v>1.9862965565706171E-3</v>
      </c>
      <c r="I278">
        <f ca="1"/>
        <v>2.1600000000000001E-2</v>
      </c>
      <c r="J278">
        <f ca="1"/>
        <v>22.690200000000001</v>
      </c>
    </row>
    <row r="279" spans="1:10" x14ac:dyDescent="0.25">
      <c r="A279" t="str">
        <v>1993-02-28</v>
      </c>
      <c r="B279">
        <f t="shared" ca="1" si="16"/>
        <v>44.257656813417192</v>
      </c>
      <c r="C279">
        <f ca="1"/>
        <v>143.1</v>
      </c>
      <c r="D279">
        <f ca="1"/>
        <v>6.2600000000000003E-2</v>
      </c>
      <c r="E279">
        <f t="shared" ca="1" si="17"/>
        <v>5.2166666666666672E-3</v>
      </c>
      <c r="F279">
        <f ca="1"/>
        <v>19.59</v>
      </c>
      <c r="G279">
        <f t="shared" ca="1" si="19"/>
        <v>2.1008403361342243E-3</v>
      </c>
      <c r="H279">
        <f t="shared" ca="1" si="18"/>
        <v>3.1158263305324429E-3</v>
      </c>
      <c r="I279">
        <f ca="1"/>
        <v>2.4799999999999999E-2</v>
      </c>
      <c r="J279">
        <f ca="1"/>
        <v>22.671759999999999</v>
      </c>
    </row>
    <row r="280" spans="1:10" x14ac:dyDescent="0.25">
      <c r="A280" t="str">
        <v>1993-03-31</v>
      </c>
      <c r="B280">
        <f t="shared" ca="1" si="16"/>
        <v>44.759898394975572</v>
      </c>
      <c r="C280">
        <f ca="1"/>
        <v>143.30000000000001</v>
      </c>
      <c r="D280">
        <f ca="1"/>
        <v>5.9799999999999999E-2</v>
      </c>
      <c r="E280">
        <f t="shared" ca="1" si="17"/>
        <v>4.9833333333333335E-3</v>
      </c>
      <c r="F280">
        <f ca="1"/>
        <v>19.84</v>
      </c>
      <c r="G280">
        <f t="shared" ca="1" si="19"/>
        <v>1.3976240391335715E-3</v>
      </c>
      <c r="H280">
        <f t="shared" ca="1" si="18"/>
        <v>3.5857092941997621E-3</v>
      </c>
      <c r="I280">
        <f ca="1"/>
        <v>2.7199999999999998E-2</v>
      </c>
      <c r="J280">
        <f ca="1"/>
        <v>22.65326</v>
      </c>
    </row>
    <row r="281" spans="1:10" x14ac:dyDescent="0.25">
      <c r="A281" t="str">
        <v>1993-04-30</v>
      </c>
      <c r="B281">
        <f t="shared" ca="1" si="16"/>
        <v>44.222072114047293</v>
      </c>
      <c r="C281">
        <f ca="1"/>
        <v>143.80000000000001</v>
      </c>
      <c r="D281">
        <f ca="1"/>
        <v>5.9700000000000003E-2</v>
      </c>
      <c r="E281">
        <f t="shared" ca="1" si="17"/>
        <v>4.9750000000000003E-3</v>
      </c>
      <c r="F281">
        <f ca="1"/>
        <v>19.670000000000002</v>
      </c>
      <c r="G281">
        <f t="shared" ca="1" si="19"/>
        <v>3.4891835310537633E-3</v>
      </c>
      <c r="H281">
        <f t="shared" ca="1" si="18"/>
        <v>1.4858164689462369E-3</v>
      </c>
      <c r="I281">
        <f ca="1"/>
        <v>2.7799999999999998E-2</v>
      </c>
      <c r="J281">
        <f ca="1"/>
        <v>22.614409999999999</v>
      </c>
    </row>
    <row r="282" spans="1:10" x14ac:dyDescent="0.25">
      <c r="A282" t="str">
        <v>1993-05-31</v>
      </c>
      <c r="B282">
        <f t="shared" ca="1" si="16"/>
        <v>43.718269764216373</v>
      </c>
      <c r="C282">
        <f ca="1"/>
        <v>144.19999999999999</v>
      </c>
      <c r="D282">
        <f ca="1"/>
        <v>6.0400000000000002E-2</v>
      </c>
      <c r="E282">
        <f t="shared" ca="1" si="17"/>
        <v>5.0333333333333332E-3</v>
      </c>
      <c r="F282">
        <f ca="1"/>
        <v>19.5</v>
      </c>
      <c r="G282">
        <f t="shared" ca="1" si="19"/>
        <v>2.7816411682890507E-3</v>
      </c>
      <c r="H282">
        <f t="shared" ca="1" si="18"/>
        <v>2.2516921650442825E-3</v>
      </c>
      <c r="I282">
        <f ca="1"/>
        <v>2.6499999999999999E-2</v>
      </c>
      <c r="J282">
        <f ca="1"/>
        <v>22.60727</v>
      </c>
    </row>
    <row r="283" spans="1:10" x14ac:dyDescent="0.25">
      <c r="A283" t="str">
        <v>1993-06-30</v>
      </c>
      <c r="B283">
        <f t="shared" ca="1" si="16"/>
        <v>43.307103465003458</v>
      </c>
      <c r="C283">
        <f ca="1"/>
        <v>144.30000000000001</v>
      </c>
      <c r="D283">
        <f ca="1"/>
        <v>5.96E-2</v>
      </c>
      <c r="E283">
        <f t="shared" ca="1" si="17"/>
        <v>4.966666666666667E-3</v>
      </c>
      <c r="F283">
        <f ca="1"/>
        <v>19.329999999999998</v>
      </c>
      <c r="G283">
        <f t="shared" ca="1" si="19"/>
        <v>6.9348127600576959E-4</v>
      </c>
      <c r="H283">
        <f t="shared" ca="1" si="18"/>
        <v>4.2731853906608974E-3</v>
      </c>
      <c r="I283">
        <f ca="1"/>
        <v>2.69E-2</v>
      </c>
      <c r="J283">
        <f ca="1"/>
        <v>22.599969999999999</v>
      </c>
    </row>
    <row r="284" spans="1:10" x14ac:dyDescent="0.25">
      <c r="A284" t="str">
        <v>1993-07-31</v>
      </c>
      <c r="B284">
        <f t="shared" ca="1" si="16"/>
        <v>44.052593702422143</v>
      </c>
      <c r="C284">
        <f ca="1"/>
        <v>144.5</v>
      </c>
      <c r="D284">
        <f ca="1"/>
        <v>5.8099999999999999E-2</v>
      </c>
      <c r="E284">
        <f t="shared" ca="1" si="17"/>
        <v>4.8416666666666669E-3</v>
      </c>
      <c r="F284">
        <f ca="1"/>
        <v>19.690000000000001</v>
      </c>
      <c r="G284">
        <f t="shared" ca="1" si="19"/>
        <v>1.386001386001201E-3</v>
      </c>
      <c r="H284">
        <f t="shared" ca="1" si="18"/>
        <v>3.4556652806654658E-3</v>
      </c>
      <c r="I284">
        <f ca="1"/>
        <v>2.81E-2</v>
      </c>
      <c r="J284">
        <f ca="1"/>
        <v>22.599969999999999</v>
      </c>
    </row>
    <row r="285" spans="1:10" x14ac:dyDescent="0.25">
      <c r="A285" t="str">
        <v>1993-08-31</v>
      </c>
      <c r="B285">
        <f t="shared" ca="1" si="16"/>
        <v>44.765086671270716</v>
      </c>
      <c r="C285">
        <f ca="1"/>
        <v>144.80000000000001</v>
      </c>
      <c r="D285">
        <f ca="1"/>
        <v>5.6800000000000003E-2</v>
      </c>
      <c r="E285">
        <f t="shared" ca="1" si="17"/>
        <v>4.7333333333333333E-3</v>
      </c>
      <c r="F285">
        <f ca="1"/>
        <v>20.05</v>
      </c>
      <c r="G285">
        <f t="shared" ca="1" si="19"/>
        <v>2.0761245674740803E-3</v>
      </c>
      <c r="H285">
        <f t="shared" ca="1" si="18"/>
        <v>2.6572087658592531E-3</v>
      </c>
      <c r="I285">
        <f ca="1"/>
        <v>2.8799999999999999E-2</v>
      </c>
      <c r="J285">
        <f ca="1"/>
        <v>22.53753</v>
      </c>
    </row>
    <row r="286" spans="1:10" x14ac:dyDescent="0.25">
      <c r="A286" t="str">
        <v>1993-09-30</v>
      </c>
      <c r="B286">
        <f t="shared" ca="1" si="16"/>
        <v>45.50599524137931</v>
      </c>
      <c r="C286">
        <f ca="1"/>
        <v>145</v>
      </c>
      <c r="D286">
        <f ca="1"/>
        <v>5.3600000000000002E-2</v>
      </c>
      <c r="E286">
        <f t="shared" ca="1" si="17"/>
        <v>4.4666666666666665E-3</v>
      </c>
      <c r="F286">
        <f ca="1"/>
        <v>20.41</v>
      </c>
      <c r="G286">
        <f t="shared" ca="1" si="19"/>
        <v>1.3812154696131174E-3</v>
      </c>
      <c r="H286">
        <f t="shared" ca="1" si="18"/>
        <v>3.0854511970535492E-3</v>
      </c>
      <c r="I286">
        <f ca="1"/>
        <v>3.1199999999999999E-2</v>
      </c>
      <c r="J286">
        <f ca="1"/>
        <v>22.490939999999998</v>
      </c>
    </row>
    <row r="287" spans="1:10" x14ac:dyDescent="0.25">
      <c r="A287" t="str">
        <v>1993-10-31</v>
      </c>
      <c r="B287">
        <f t="shared" ca="1" si="16"/>
        <v>46.406469093406585</v>
      </c>
      <c r="C287">
        <f ca="1"/>
        <v>145.6</v>
      </c>
      <c r="D287">
        <f ca="1"/>
        <v>5.33E-2</v>
      </c>
      <c r="E287">
        <f t="shared" ca="1" si="17"/>
        <v>4.4416666666666667E-3</v>
      </c>
      <c r="F287">
        <f ca="1"/>
        <v>20.9</v>
      </c>
      <c r="G287">
        <f t="shared" ca="1" si="19"/>
        <v>4.1379310344826781E-3</v>
      </c>
      <c r="H287">
        <f t="shared" ca="1" si="18"/>
        <v>3.0373563218398861E-4</v>
      </c>
      <c r="I287">
        <f ca="1"/>
        <v>3.1399999999999997E-2</v>
      </c>
      <c r="J287">
        <f ca="1"/>
        <v>22.434100000000001</v>
      </c>
    </row>
    <row r="288" spans="1:10" x14ac:dyDescent="0.25">
      <c r="A288" t="str">
        <v>1993-11-30</v>
      </c>
      <c r="B288">
        <f t="shared" ca="1" si="16"/>
        <v>47.364345821917809</v>
      </c>
      <c r="C288">
        <f ca="1"/>
        <v>146</v>
      </c>
      <c r="D288">
        <f ca="1"/>
        <v>5.7200000000000001E-2</v>
      </c>
      <c r="E288">
        <f t="shared" ca="1" si="17"/>
        <v>4.7666666666666664E-3</v>
      </c>
      <c r="F288">
        <f ca="1"/>
        <v>21.39</v>
      </c>
      <c r="G288">
        <f t="shared" ca="1" si="19"/>
        <v>2.7472527472527375E-3</v>
      </c>
      <c r="H288">
        <f t="shared" ca="1" si="18"/>
        <v>2.019413919413929E-3</v>
      </c>
      <c r="I288">
        <f ca="1"/>
        <v>2.75E-2</v>
      </c>
      <c r="J288">
        <f ca="1"/>
        <v>22.454470000000001</v>
      </c>
    </row>
    <row r="289" spans="1:10" x14ac:dyDescent="0.25">
      <c r="A289" t="str">
        <v>1993-12-31</v>
      </c>
      <c r="B289">
        <f t="shared" ca="1" si="16"/>
        <v>48.372112030075186</v>
      </c>
      <c r="C289">
        <f ca="1"/>
        <v>146.30000000000001</v>
      </c>
      <c r="D289">
        <f ca="1"/>
        <v>5.7700000000000001E-2</v>
      </c>
      <c r="E289">
        <f t="shared" ca="1" si="17"/>
        <v>4.8083333333333337E-3</v>
      </c>
      <c r="F289">
        <f ca="1"/>
        <v>21.89</v>
      </c>
      <c r="G289">
        <f t="shared" ca="1" si="19"/>
        <v>2.05479452054802E-3</v>
      </c>
      <c r="H289">
        <f t="shared" ca="1" si="18"/>
        <v>2.7535388127853137E-3</v>
      </c>
      <c r="I289">
        <f ca="1"/>
        <v>2.6599999999999999E-2</v>
      </c>
      <c r="J289">
        <f ca="1"/>
        <v>22.490220000000001</v>
      </c>
    </row>
    <row r="290" spans="1:10" x14ac:dyDescent="0.25">
      <c r="A290" t="str">
        <v>1994-01-31</v>
      </c>
      <c r="B290">
        <f t="shared" ca="1" si="16"/>
        <v>48.961460695146954</v>
      </c>
      <c r="C290">
        <f ca="1"/>
        <v>146.30000000000001</v>
      </c>
      <c r="D290">
        <f ca="1"/>
        <v>5.7500000000000002E-2</v>
      </c>
      <c r="E290">
        <f t="shared" ca="1" si="17"/>
        <v>4.7916666666666672E-3</v>
      </c>
      <c r="F290">
        <f ca="1"/>
        <v>22.156700000000001</v>
      </c>
      <c r="G290">
        <f t="shared" ca="1" si="19"/>
        <v>0</v>
      </c>
      <c r="H290">
        <f t="shared" ca="1" si="18"/>
        <v>4.7916666666666672E-3</v>
      </c>
      <c r="I290">
        <f ca="1"/>
        <v>2.5999999999999999E-2</v>
      </c>
      <c r="J290">
        <f ca="1"/>
        <v>22.505890000000001</v>
      </c>
    </row>
    <row r="291" spans="1:10" x14ac:dyDescent="0.25">
      <c r="A291" t="str">
        <v>1994-02-28</v>
      </c>
      <c r="B291">
        <f t="shared" ca="1" si="16"/>
        <v>49.437518679618265</v>
      </c>
      <c r="C291">
        <f ca="1"/>
        <v>146.69999999999999</v>
      </c>
      <c r="D291">
        <f ca="1"/>
        <v>5.9700000000000003E-2</v>
      </c>
      <c r="E291">
        <f t="shared" ca="1" si="17"/>
        <v>4.9750000000000003E-3</v>
      </c>
      <c r="F291">
        <f ca="1"/>
        <v>22.433299999999999</v>
      </c>
      <c r="G291">
        <f t="shared" ca="1" si="19"/>
        <v>2.7341079972658111E-3</v>
      </c>
      <c r="H291">
        <f t="shared" ca="1" si="18"/>
        <v>2.2408920027341891E-3</v>
      </c>
      <c r="I291">
        <f ca="1"/>
        <v>2.3900000000000001E-2</v>
      </c>
      <c r="J291">
        <f ca="1"/>
        <v>22.5063</v>
      </c>
    </row>
    <row r="292" spans="1:10" x14ac:dyDescent="0.25">
      <c r="A292" t="str">
        <v>1994-03-31</v>
      </c>
      <c r="B292">
        <f t="shared" ca="1" si="16"/>
        <v>49.911207409925225</v>
      </c>
      <c r="C292">
        <f ca="1"/>
        <v>147.1</v>
      </c>
      <c r="D292">
        <f ca="1"/>
        <v>6.4799999999999996E-2</v>
      </c>
      <c r="E292">
        <f t="shared" ca="1" si="17"/>
        <v>5.3999999999999994E-3</v>
      </c>
      <c r="F292">
        <f ca="1"/>
        <v>22.71</v>
      </c>
      <c r="G292">
        <f t="shared" ca="1" si="19"/>
        <v>2.7266530334015826E-3</v>
      </c>
      <c r="H292">
        <f t="shared" ca="1" si="18"/>
        <v>2.6733469665984168E-3</v>
      </c>
      <c r="I292">
        <f ca="1"/>
        <v>0.02</v>
      </c>
      <c r="J292">
        <f ca="1"/>
        <v>22.506519999999998</v>
      </c>
    </row>
    <row r="293" spans="1:10" x14ac:dyDescent="0.25">
      <c r="A293" t="str">
        <v>1994-04-30</v>
      </c>
      <c r="B293">
        <f t="shared" ca="1" si="16"/>
        <v>51.700204755434783</v>
      </c>
      <c r="C293">
        <f ca="1"/>
        <v>147.19999999999999</v>
      </c>
      <c r="D293">
        <f ca="1"/>
        <v>6.9699999999999998E-2</v>
      </c>
      <c r="E293">
        <f t="shared" ca="1" si="17"/>
        <v>5.8083333333333329E-3</v>
      </c>
      <c r="F293">
        <f ca="1"/>
        <v>23.54</v>
      </c>
      <c r="G293">
        <f t="shared" ca="1" si="19"/>
        <v>6.7980965329694776E-4</v>
      </c>
      <c r="H293">
        <f t="shared" ca="1" si="18"/>
        <v>5.1285236800363851E-3</v>
      </c>
      <c r="I293">
        <f ca="1"/>
        <v>1.66E-2</v>
      </c>
      <c r="J293">
        <f ca="1"/>
        <v>22.55255</v>
      </c>
    </row>
    <row r="294" spans="1:10" x14ac:dyDescent="0.25">
      <c r="A294" t="str">
        <v>1994-05-31</v>
      </c>
      <c r="B294">
        <f t="shared" ca="1" si="16"/>
        <v>53.414248610169494</v>
      </c>
      <c r="C294">
        <f ca="1"/>
        <v>147.5</v>
      </c>
      <c r="D294">
        <f ca="1"/>
        <v>7.1800000000000003E-2</v>
      </c>
      <c r="E294">
        <f t="shared" ca="1" si="17"/>
        <v>5.9833333333333336E-3</v>
      </c>
      <c r="F294">
        <f ca="1"/>
        <v>24.37</v>
      </c>
      <c r="G294">
        <f t="shared" ca="1" si="19"/>
        <v>2.0380434782609758E-3</v>
      </c>
      <c r="H294">
        <f t="shared" ca="1" si="18"/>
        <v>3.9452898550723578E-3</v>
      </c>
      <c r="I294">
        <f ca="1"/>
        <v>1.3899999999999999E-2</v>
      </c>
      <c r="J294">
        <f ca="1"/>
        <v>22.613959999999999</v>
      </c>
    </row>
    <row r="295" spans="1:10" x14ac:dyDescent="0.25">
      <c r="A295" t="str">
        <v>1994-06-30</v>
      </c>
      <c r="B295">
        <f t="shared" ca="1" si="16"/>
        <v>55.084064908722105</v>
      </c>
      <c r="C295">
        <f ca="1"/>
        <v>147.9</v>
      </c>
      <c r="D295">
        <f ca="1"/>
        <v>7.0999999999999994E-2</v>
      </c>
      <c r="E295">
        <f t="shared" ca="1" si="17"/>
        <v>5.9166666666666664E-3</v>
      </c>
      <c r="F295">
        <f ca="1"/>
        <v>25.2</v>
      </c>
      <c r="G295">
        <f t="shared" ca="1" si="19"/>
        <v>2.7118644067796183E-3</v>
      </c>
      <c r="H295">
        <f t="shared" ca="1" si="18"/>
        <v>3.2048022598870482E-3</v>
      </c>
      <c r="I295">
        <f ca="1"/>
        <v>1.4500000000000001E-2</v>
      </c>
      <c r="J295">
        <f ca="1"/>
        <v>22.61382</v>
      </c>
    </row>
    <row r="296" spans="1:10" x14ac:dyDescent="0.25">
      <c r="A296" t="str">
        <v>1994-07-31</v>
      </c>
      <c r="B296">
        <f t="shared" ca="1" si="16"/>
        <v>56.445214353099729</v>
      </c>
      <c r="C296">
        <f ca="1"/>
        <v>148.4</v>
      </c>
      <c r="D296">
        <f ca="1"/>
        <v>7.2999999999999995E-2</v>
      </c>
      <c r="E296">
        <f t="shared" ca="1" si="17"/>
        <v>6.083333333333333E-3</v>
      </c>
      <c r="F296">
        <f ca="1"/>
        <v>25.91</v>
      </c>
      <c r="G296">
        <f t="shared" ca="1" si="19"/>
        <v>3.3806626098715764E-3</v>
      </c>
      <c r="H296">
        <f t="shared" ca="1" si="18"/>
        <v>2.7026707234617565E-3</v>
      </c>
      <c r="I296">
        <f ca="1"/>
        <v>1.29E-2</v>
      </c>
      <c r="J296">
        <f ca="1"/>
        <v>22.605560000000001</v>
      </c>
    </row>
    <row r="297" spans="1:10" x14ac:dyDescent="0.25">
      <c r="A297" t="str">
        <v>1994-08-31</v>
      </c>
      <c r="B297">
        <f t="shared" ca="1" si="16"/>
        <v>57.758432348993288</v>
      </c>
      <c r="C297">
        <f ca="1"/>
        <v>149</v>
      </c>
      <c r="D297">
        <f ca="1"/>
        <v>7.2400000000000006E-2</v>
      </c>
      <c r="E297">
        <f t="shared" ca="1" si="17"/>
        <v>6.0333333333333341E-3</v>
      </c>
      <c r="F297">
        <f ca="1"/>
        <v>26.62</v>
      </c>
      <c r="G297">
        <f t="shared" ca="1" si="19"/>
        <v>4.0431266846361336E-3</v>
      </c>
      <c r="H297">
        <f t="shared" ca="1" si="18"/>
        <v>1.9902066486972006E-3</v>
      </c>
      <c r="I297">
        <f ca="1"/>
        <v>1.24E-2</v>
      </c>
      <c r="J297">
        <f ca="1"/>
        <v>22.56701</v>
      </c>
    </row>
    <row r="298" spans="1:10" x14ac:dyDescent="0.25">
      <c r="A298" t="str">
        <v>1994-09-30</v>
      </c>
      <c r="B298">
        <f t="shared" ca="1" si="16"/>
        <v>59.179792565304744</v>
      </c>
      <c r="C298">
        <f ca="1"/>
        <v>149.30000000000001</v>
      </c>
      <c r="D298">
        <f ca="1"/>
        <v>7.46E-2</v>
      </c>
      <c r="E298">
        <f t="shared" ca="1" si="17"/>
        <v>6.2166666666666663E-3</v>
      </c>
      <c r="F298">
        <f ca="1"/>
        <v>27.33</v>
      </c>
      <c r="G298">
        <f t="shared" ca="1" si="19"/>
        <v>2.0134228187920211E-3</v>
      </c>
      <c r="H298">
        <f t="shared" ca="1" si="18"/>
        <v>4.2032438478746452E-3</v>
      </c>
      <c r="I298">
        <f ca="1"/>
        <v>9.9000000000000008E-3</v>
      </c>
      <c r="J298">
        <f ca="1"/>
        <v>22.54149</v>
      </c>
    </row>
    <row r="299" spans="1:10" x14ac:dyDescent="0.25">
      <c r="A299" t="str">
        <v>1994-10-31</v>
      </c>
      <c r="B299">
        <f t="shared" ca="1" si="16"/>
        <v>61.49886358768407</v>
      </c>
      <c r="C299">
        <f ca="1"/>
        <v>149.4</v>
      </c>
      <c r="D299">
        <f ca="1"/>
        <v>7.7399999999999997E-2</v>
      </c>
      <c r="E299">
        <f t="shared" ca="1" si="17"/>
        <v>6.45E-3</v>
      </c>
      <c r="F299">
        <f ca="1"/>
        <v>28.42</v>
      </c>
      <c r="G299">
        <f t="shared" ca="1" si="19"/>
        <v>6.6979236436703893E-4</v>
      </c>
      <c r="H299">
        <f t="shared" ca="1" si="18"/>
        <v>5.7802076356329611E-3</v>
      </c>
      <c r="I299">
        <f ca="1"/>
        <v>7.3000000000000001E-3</v>
      </c>
      <c r="J299">
        <f ca="1"/>
        <v>22.689080000000001</v>
      </c>
    </row>
    <row r="300" spans="1:10" x14ac:dyDescent="0.25">
      <c r="A300" t="str">
        <v>1994-11-30</v>
      </c>
      <c r="B300">
        <f t="shared" ca="1" si="16"/>
        <v>63.687032109479297</v>
      </c>
      <c r="C300">
        <f ca="1"/>
        <v>149.80000000000001</v>
      </c>
      <c r="D300">
        <f ca="1"/>
        <v>7.9600000000000004E-2</v>
      </c>
      <c r="E300">
        <f t="shared" ca="1" si="17"/>
        <v>6.633333333333334E-3</v>
      </c>
      <c r="F300">
        <f ca="1"/>
        <v>29.51</v>
      </c>
      <c r="G300">
        <f t="shared" ca="1" si="19"/>
        <v>2.6773761713521083E-3</v>
      </c>
      <c r="H300">
        <f t="shared" ca="1" si="18"/>
        <v>3.9559571619812257E-3</v>
      </c>
      <c r="I300">
        <f ca="1"/>
        <v>5.7000000000000002E-3</v>
      </c>
      <c r="J300">
        <f ca="1"/>
        <v>22.803979999999999</v>
      </c>
    </row>
    <row r="301" spans="1:10" x14ac:dyDescent="0.25">
      <c r="A301" t="str">
        <v>1994-12-31</v>
      </c>
      <c r="B301">
        <f t="shared" ca="1" si="16"/>
        <v>65.907425716189209</v>
      </c>
      <c r="C301">
        <f ca="1"/>
        <v>150.1</v>
      </c>
      <c r="D301">
        <f ca="1"/>
        <v>7.8100000000000003E-2</v>
      </c>
      <c r="E301">
        <f t="shared" ca="1" si="17"/>
        <v>6.5083333333333339E-3</v>
      </c>
      <c r="F301">
        <f ca="1"/>
        <v>30.6</v>
      </c>
      <c r="G301">
        <f t="shared" ca="1" si="19"/>
        <v>2.0026702269690944E-3</v>
      </c>
      <c r="H301">
        <f t="shared" ca="1" si="18"/>
        <v>4.5056631063642395E-3</v>
      </c>
      <c r="I301">
        <f ca="1"/>
        <v>7.9000000000000008E-3</v>
      </c>
      <c r="J301">
        <f ca="1"/>
        <v>22.931609999999999</v>
      </c>
    </row>
    <row r="302" spans="1:10" x14ac:dyDescent="0.25">
      <c r="A302" t="str">
        <v>1995-01-31</v>
      </c>
      <c r="B302">
        <f t="shared" ca="1" si="16"/>
        <v>67.128529900332225</v>
      </c>
      <c r="C302">
        <f ca="1"/>
        <v>150.5</v>
      </c>
      <c r="D302">
        <f ca="1"/>
        <v>7.7799999999999994E-2</v>
      </c>
      <c r="E302">
        <f t="shared" ca="1" si="17"/>
        <v>6.4833333333333331E-3</v>
      </c>
      <c r="F302">
        <f ca="1"/>
        <v>31.25</v>
      </c>
      <c r="G302">
        <f t="shared" ca="1" si="19"/>
        <v>2.6648900732844094E-3</v>
      </c>
      <c r="H302">
        <f t="shared" ca="1" si="18"/>
        <v>3.8184432600489237E-3</v>
      </c>
      <c r="I302">
        <f ca="1"/>
        <v>7.7000000000000002E-3</v>
      </c>
      <c r="J302">
        <f ca="1"/>
        <v>22.857410000000002</v>
      </c>
    </row>
    <row r="303" spans="1:10" x14ac:dyDescent="0.25">
      <c r="A303" t="str">
        <v>1995-02-28</v>
      </c>
      <c r="B303">
        <f t="shared" ca="1" si="16"/>
        <v>68.343160371106691</v>
      </c>
      <c r="C303">
        <f ca="1"/>
        <v>150.9</v>
      </c>
      <c r="D303">
        <f ca="1"/>
        <v>7.4700000000000003E-2</v>
      </c>
      <c r="E303">
        <f t="shared" ca="1" si="17"/>
        <v>6.2250000000000005E-3</v>
      </c>
      <c r="F303">
        <f ca="1"/>
        <v>31.9</v>
      </c>
      <c r="G303">
        <f t="shared" ca="1" si="19"/>
        <v>2.6578073089700283E-3</v>
      </c>
      <c r="H303">
        <f t="shared" ca="1" si="18"/>
        <v>3.5671926910299722E-3</v>
      </c>
      <c r="I303">
        <f ca="1"/>
        <v>9.2999999999999992E-3</v>
      </c>
      <c r="J303">
        <f ca="1"/>
        <v>22.766529999999999</v>
      </c>
    </row>
    <row r="304" spans="1:10" x14ac:dyDescent="0.25">
      <c r="A304" t="str">
        <v>1995-03-31</v>
      </c>
      <c r="B304">
        <f t="shared" ca="1" si="16"/>
        <v>69.597368055555549</v>
      </c>
      <c r="C304">
        <f ca="1"/>
        <v>151.19999999999999</v>
      </c>
      <c r="D304">
        <f ca="1"/>
        <v>7.1999999999999995E-2</v>
      </c>
      <c r="E304">
        <f t="shared" ca="1" si="17"/>
        <v>5.9999999999999993E-3</v>
      </c>
      <c r="F304">
        <f ca="1"/>
        <v>32.549999999999997</v>
      </c>
      <c r="G304">
        <f t="shared" ca="1" si="19"/>
        <v>1.9880715705764551E-3</v>
      </c>
      <c r="H304">
        <f t="shared" ca="1" si="18"/>
        <v>4.0119284294235441E-3</v>
      </c>
      <c r="I304">
        <f ca="1"/>
        <v>1.12E-2</v>
      </c>
      <c r="J304">
        <f ca="1"/>
        <v>22.674130000000002</v>
      </c>
    </row>
    <row r="305" spans="1:10" x14ac:dyDescent="0.25">
      <c r="A305" t="str">
        <v>1995-04-30</v>
      </c>
      <c r="B305">
        <f t="shared" ca="1" si="16"/>
        <v>70.656973120553346</v>
      </c>
      <c r="C305">
        <f ca="1"/>
        <v>151.80000000000001</v>
      </c>
      <c r="D305">
        <f ca="1"/>
        <v>7.0599999999999996E-2</v>
      </c>
      <c r="E305">
        <f t="shared" ca="1" si="17"/>
        <v>5.8833333333333333E-3</v>
      </c>
      <c r="F305">
        <f ca="1"/>
        <v>33.176699999999997</v>
      </c>
      <c r="G305">
        <f t="shared" ca="1" si="19"/>
        <v>3.9682539682541762E-3</v>
      </c>
      <c r="H305">
        <f t="shared" ca="1" si="18"/>
        <v>1.9150793650791571E-3</v>
      </c>
      <c r="I305">
        <f ca="1"/>
        <v>1.14E-2</v>
      </c>
      <c r="J305">
        <f ca="1"/>
        <v>22.725269999999998</v>
      </c>
    </row>
    <row r="306" spans="1:10" x14ac:dyDescent="0.25">
      <c r="A306" t="str">
        <v>1995-05-31</v>
      </c>
      <c r="B306">
        <f t="shared" ca="1" si="16"/>
        <v>71.849458647600258</v>
      </c>
      <c r="C306">
        <f ca="1"/>
        <v>152.1</v>
      </c>
      <c r="D306">
        <f ca="1"/>
        <v>6.6299999999999998E-2</v>
      </c>
      <c r="E306">
        <f t="shared" ca="1" si="17"/>
        <v>5.5249999999999995E-3</v>
      </c>
      <c r="F306">
        <f ca="1"/>
        <v>33.8033</v>
      </c>
      <c r="G306">
        <f t="shared" ca="1" si="19"/>
        <v>1.9762845849802257E-3</v>
      </c>
      <c r="H306">
        <f t="shared" ca="1" si="18"/>
        <v>3.5487154150197738E-3</v>
      </c>
      <c r="I306">
        <f ca="1"/>
        <v>1.43E-2</v>
      </c>
      <c r="J306">
        <f ca="1"/>
        <v>22.789059999999999</v>
      </c>
    </row>
    <row r="307" spans="1:10" x14ac:dyDescent="0.25">
      <c r="A307" t="str">
        <v>1995-06-30</v>
      </c>
      <c r="B307">
        <f t="shared" ca="1" si="16"/>
        <v>73.037461482939634</v>
      </c>
      <c r="C307">
        <f ca="1"/>
        <v>152.4</v>
      </c>
      <c r="D307">
        <f ca="1"/>
        <v>6.1699999999999998E-2</v>
      </c>
      <c r="E307">
        <f t="shared" ca="1" si="17"/>
        <v>5.1416666666666668E-3</v>
      </c>
      <c r="F307">
        <f ca="1"/>
        <v>34.43</v>
      </c>
      <c r="G307">
        <f t="shared" ca="1" si="19"/>
        <v>1.9723865877712132E-3</v>
      </c>
      <c r="H307">
        <f t="shared" ca="1" si="18"/>
        <v>3.1692800788954536E-3</v>
      </c>
      <c r="I307">
        <f ca="1"/>
        <v>1.78E-2</v>
      </c>
      <c r="J307">
        <f ca="1"/>
        <v>22.835329999999999</v>
      </c>
    </row>
    <row r="308" spans="1:10" x14ac:dyDescent="0.25">
      <c r="A308" t="str">
        <v>1995-07-31</v>
      </c>
      <c r="B308">
        <f t="shared" ca="1" si="16"/>
        <v>73.471375360419401</v>
      </c>
      <c r="C308">
        <f ca="1"/>
        <v>152.6</v>
      </c>
      <c r="D308">
        <f ca="1"/>
        <v>6.2799999999999995E-2</v>
      </c>
      <c r="E308">
        <f t="shared" ca="1" si="17"/>
        <v>5.2333333333333329E-3</v>
      </c>
      <c r="F308">
        <f ca="1"/>
        <v>34.68</v>
      </c>
      <c r="G308">
        <f t="shared" ca="1" si="19"/>
        <v>1.312335958005173E-3</v>
      </c>
      <c r="H308">
        <f t="shared" ca="1" si="18"/>
        <v>3.9209973753281599E-3</v>
      </c>
      <c r="I308">
        <f ca="1"/>
        <v>1.5299999999999999E-2</v>
      </c>
      <c r="J308">
        <f ca="1"/>
        <v>22.972069999999999</v>
      </c>
    </row>
    <row r="309" spans="1:10" x14ac:dyDescent="0.25">
      <c r="A309" t="str">
        <v>1995-08-31</v>
      </c>
      <c r="B309">
        <f t="shared" ca="1" si="16"/>
        <v>73.85581837802485</v>
      </c>
      <c r="C309">
        <f ca="1"/>
        <v>152.9</v>
      </c>
      <c r="D309">
        <f ca="1"/>
        <v>6.4899999999999999E-2</v>
      </c>
      <c r="E309">
        <f t="shared" ca="1" si="17"/>
        <v>5.4083333333333336E-3</v>
      </c>
      <c r="F309">
        <f ca="1"/>
        <v>34.93</v>
      </c>
      <c r="G309">
        <f t="shared" ca="1" si="19"/>
        <v>1.9659239842726439E-3</v>
      </c>
      <c r="H309">
        <f t="shared" ca="1" si="18"/>
        <v>3.4424093490606896E-3</v>
      </c>
      <c r="I309">
        <f ca="1"/>
        <v>1.34E-2</v>
      </c>
      <c r="J309">
        <f ca="1"/>
        <v>23.031300000000002</v>
      </c>
    </row>
    <row r="310" spans="1:10" x14ac:dyDescent="0.25">
      <c r="A310" t="str">
        <v>1995-09-30</v>
      </c>
      <c r="B310">
        <f t="shared" ca="1" si="16"/>
        <v>74.287246113651207</v>
      </c>
      <c r="C310">
        <f ca="1"/>
        <v>153.1</v>
      </c>
      <c r="D310">
        <f ca="1"/>
        <v>6.2E-2</v>
      </c>
      <c r="E310">
        <f t="shared" ca="1" si="17"/>
        <v>5.1666666666666666E-3</v>
      </c>
      <c r="F310">
        <f ca="1"/>
        <v>35.18</v>
      </c>
      <c r="G310">
        <f t="shared" ca="1" si="19"/>
        <v>1.3080444735120711E-3</v>
      </c>
      <c r="H310">
        <f t="shared" ca="1" si="18"/>
        <v>3.8586221931545955E-3</v>
      </c>
      <c r="I310">
        <f ca="1"/>
        <v>1.5100000000000001E-2</v>
      </c>
      <c r="J310">
        <f ca="1"/>
        <v>23.1053</v>
      </c>
    </row>
    <row r="311" spans="1:10" x14ac:dyDescent="0.25">
      <c r="A311" t="str">
        <v>1995-10-31</v>
      </c>
      <c r="B311">
        <f t="shared" ca="1" si="16"/>
        <v>73.237100523127026</v>
      </c>
      <c r="C311">
        <f ca="1"/>
        <v>153.5</v>
      </c>
      <c r="D311">
        <f ca="1"/>
        <v>6.0400000000000002E-2</v>
      </c>
      <c r="E311">
        <f t="shared" ca="1" si="17"/>
        <v>5.0333333333333332E-3</v>
      </c>
      <c r="F311">
        <f ca="1"/>
        <v>34.773299999999999</v>
      </c>
      <c r="G311">
        <f t="shared" ca="1" si="19"/>
        <v>2.6126714565644082E-3</v>
      </c>
      <c r="H311">
        <f t="shared" ca="1" si="18"/>
        <v>2.420661876768925E-3</v>
      </c>
      <c r="I311">
        <f ca="1"/>
        <v>1.66E-2</v>
      </c>
      <c r="J311">
        <f ca="1"/>
        <v>23.148849999999999</v>
      </c>
    </row>
    <row r="312" spans="1:10" x14ac:dyDescent="0.25">
      <c r="A312" t="str">
        <v>1995-11-30</v>
      </c>
      <c r="B312">
        <f t="shared" ca="1" si="16"/>
        <v>72.286563498373468</v>
      </c>
      <c r="C312">
        <f ca="1"/>
        <v>153.69999999999999</v>
      </c>
      <c r="D312">
        <f ca="1"/>
        <v>5.9299999999999999E-2</v>
      </c>
      <c r="E312">
        <f t="shared" ca="1" si="17"/>
        <v>4.9416666666666663E-3</v>
      </c>
      <c r="F312">
        <f ca="1"/>
        <v>34.366700000000002</v>
      </c>
      <c r="G312">
        <f t="shared" ca="1" si="19"/>
        <v>1.3029315960910726E-3</v>
      </c>
      <c r="H312">
        <f t="shared" ca="1" si="18"/>
        <v>3.6387350705755937E-3</v>
      </c>
      <c r="I312">
        <f ca="1"/>
        <v>1.67E-2</v>
      </c>
      <c r="J312">
        <f ca="1"/>
        <v>23.282710000000002</v>
      </c>
    </row>
    <row r="313" spans="1:10" x14ac:dyDescent="0.25">
      <c r="A313" t="str">
        <v>1995-12-31</v>
      </c>
      <c r="B313">
        <f t="shared" ca="1" si="16"/>
        <v>71.338286939571148</v>
      </c>
      <c r="C313">
        <f ca="1"/>
        <v>153.9</v>
      </c>
      <c r="D313">
        <f ca="1"/>
        <v>5.7099999999999998E-2</v>
      </c>
      <c r="E313">
        <f t="shared" ca="1" si="17"/>
        <v>4.7583333333333332E-3</v>
      </c>
      <c r="F313">
        <f ca="1"/>
        <v>33.96</v>
      </c>
      <c r="G313">
        <f t="shared" ca="1" si="19"/>
        <v>1.3012361743658385E-3</v>
      </c>
      <c r="H313">
        <f t="shared" ca="1" si="18"/>
        <v>3.4570971589674947E-3</v>
      </c>
      <c r="I313">
        <f ca="1"/>
        <v>1.7399999999999999E-2</v>
      </c>
      <c r="J313">
        <f ca="1"/>
        <v>23.41675</v>
      </c>
    </row>
    <row r="314" spans="1:10" x14ac:dyDescent="0.25">
      <c r="A314" t="str">
        <v>1996-01-31</v>
      </c>
      <c r="B314">
        <f t="shared" ca="1" si="16"/>
        <v>71.02517278409826</v>
      </c>
      <c r="C314">
        <f ca="1"/>
        <v>154.69999999999999</v>
      </c>
      <c r="D314">
        <f ca="1"/>
        <v>5.6500000000000002E-2</v>
      </c>
      <c r="E314">
        <f t="shared" ca="1" si="17"/>
        <v>4.7083333333333335E-3</v>
      </c>
      <c r="F314">
        <f ca="1"/>
        <v>33.986699999999999</v>
      </c>
      <c r="G314">
        <f t="shared" ca="1" si="19"/>
        <v>5.1981806367771277E-3</v>
      </c>
      <c r="H314">
        <f t="shared" ca="1" si="18"/>
        <v>-4.8984730344379425E-4</v>
      </c>
      <c r="I314">
        <f ca="1"/>
        <v>1.8700000000000001E-2</v>
      </c>
      <c r="J314">
        <f ca="1"/>
        <v>23.454640000000001</v>
      </c>
    </row>
    <row r="315" spans="1:10" x14ac:dyDescent="0.25">
      <c r="A315" t="str">
        <v>1996-02-29</v>
      </c>
      <c r="B315">
        <f t="shared" ca="1" si="16"/>
        <v>70.943185614838711</v>
      </c>
      <c r="C315">
        <f ca="1"/>
        <v>155</v>
      </c>
      <c r="D315">
        <f ca="1"/>
        <v>5.8099999999999999E-2</v>
      </c>
      <c r="E315">
        <f t="shared" ca="1" si="17"/>
        <v>4.8416666666666669E-3</v>
      </c>
      <c r="F315">
        <f ca="1"/>
        <v>34.013300000000001</v>
      </c>
      <c r="G315">
        <f t="shared" ca="1" si="19"/>
        <v>1.9392372333548735E-3</v>
      </c>
      <c r="H315">
        <f t="shared" ca="1" si="18"/>
        <v>2.9024294333117933E-3</v>
      </c>
      <c r="I315">
        <f ca="1"/>
        <v>1.5900000000000001E-2</v>
      </c>
      <c r="J315">
        <f ca="1"/>
        <v>23.55293</v>
      </c>
    </row>
    <row r="316" spans="1:10" x14ac:dyDescent="0.25">
      <c r="A316" t="str">
        <v>1996-03-31</v>
      </c>
      <c r="B316">
        <f t="shared" ca="1" si="16"/>
        <v>70.770582893890676</v>
      </c>
      <c r="C316">
        <f ca="1"/>
        <v>155.5</v>
      </c>
      <c r="D316">
        <f ca="1"/>
        <v>6.2700000000000006E-2</v>
      </c>
      <c r="E316">
        <f t="shared" ca="1" si="17"/>
        <v>5.2250000000000005E-3</v>
      </c>
      <c r="F316">
        <f ca="1"/>
        <v>34.04</v>
      </c>
      <c r="G316">
        <f t="shared" ca="1" si="19"/>
        <v>3.225806451612856E-3</v>
      </c>
      <c r="H316">
        <f t="shared" ca="1" si="18"/>
        <v>1.9991935483871445E-3</v>
      </c>
      <c r="I316">
        <f ca="1"/>
        <v>1.2800000000000001E-2</v>
      </c>
      <c r="J316">
        <f ca="1"/>
        <v>23.604839999999999</v>
      </c>
    </row>
    <row r="317" spans="1:10" x14ac:dyDescent="0.25">
      <c r="A317" t="str">
        <v>1996-04-30</v>
      </c>
      <c r="B317">
        <f t="shared" ca="1" si="16"/>
        <v>71.099167392696984</v>
      </c>
      <c r="C317">
        <f ca="1"/>
        <v>156.1</v>
      </c>
      <c r="D317">
        <f ca="1"/>
        <v>6.5100000000000005E-2</v>
      </c>
      <c r="E317">
        <f t="shared" ca="1" si="17"/>
        <v>5.4250000000000001E-3</v>
      </c>
      <c r="F317">
        <f ca="1"/>
        <v>34.33</v>
      </c>
      <c r="G317">
        <f t="shared" ca="1" si="19"/>
        <v>3.8585209003214604E-3</v>
      </c>
      <c r="H317">
        <f t="shared" ca="1" si="18"/>
        <v>1.5664790996785397E-3</v>
      </c>
      <c r="I317">
        <f ca="1"/>
        <v>1.1299999999999999E-2</v>
      </c>
      <c r="J317">
        <f ca="1"/>
        <v>23.608789999999999</v>
      </c>
    </row>
    <row r="318" spans="1:10" x14ac:dyDescent="0.25">
      <c r="A318" t="str">
        <v>1996-05-31</v>
      </c>
      <c r="B318">
        <f t="shared" ca="1" si="16"/>
        <v>71.562240537084392</v>
      </c>
      <c r="C318">
        <f ca="1"/>
        <v>156.4</v>
      </c>
      <c r="D318">
        <f ca="1"/>
        <v>6.7400000000000002E-2</v>
      </c>
      <c r="E318">
        <f t="shared" ca="1" si="17"/>
        <v>5.6166666666666665E-3</v>
      </c>
      <c r="F318">
        <f ca="1"/>
        <v>34.619999999999997</v>
      </c>
      <c r="G318">
        <f t="shared" ca="1" si="19"/>
        <v>1.9218449711724261E-3</v>
      </c>
      <c r="H318">
        <f t="shared" ca="1" si="18"/>
        <v>3.6948216954942404E-3</v>
      </c>
      <c r="I318">
        <f ca="1"/>
        <v>8.3000000000000001E-3</v>
      </c>
      <c r="J318">
        <f ca="1"/>
        <v>23.657769999999999</v>
      </c>
    </row>
    <row r="319" spans="1:10" x14ac:dyDescent="0.25">
      <c r="A319" t="str">
        <v>1996-06-30</v>
      </c>
      <c r="B319">
        <f t="shared" ca="1" si="16"/>
        <v>72.023540587109125</v>
      </c>
      <c r="C319">
        <f ca="1"/>
        <v>156.69999999999999</v>
      </c>
      <c r="D319">
        <f ca="1"/>
        <v>6.9099999999999995E-2</v>
      </c>
      <c r="E319">
        <f t="shared" ca="1" si="17"/>
        <v>5.7583333333333332E-3</v>
      </c>
      <c r="F319">
        <f ca="1"/>
        <v>34.909999999999997</v>
      </c>
      <c r="G319">
        <f t="shared" ca="1" si="19"/>
        <v>1.9181585677747748E-3</v>
      </c>
      <c r="H319">
        <f t="shared" ca="1" si="18"/>
        <v>3.8401747655585584E-3</v>
      </c>
      <c r="I319">
        <f ca="1"/>
        <v>5.8999999999999999E-3</v>
      </c>
      <c r="J319">
        <f ca="1"/>
        <v>23.736989999999999</v>
      </c>
    </row>
    <row r="320" spans="1:10" x14ac:dyDescent="0.25">
      <c r="A320" t="str">
        <v>1996-07-31</v>
      </c>
      <c r="B320">
        <f t="shared" ca="1" si="16"/>
        <v>72.63401547961783</v>
      </c>
      <c r="C320">
        <f ca="1"/>
        <v>157</v>
      </c>
      <c r="D320">
        <f ca="1"/>
        <v>6.8699999999999997E-2</v>
      </c>
      <c r="E320">
        <f t="shared" ca="1" si="17"/>
        <v>5.7250000000000001E-3</v>
      </c>
      <c r="F320">
        <f ca="1"/>
        <v>35.273299999999999</v>
      </c>
      <c r="G320">
        <f t="shared" ca="1" si="19"/>
        <v>1.9144862795150708E-3</v>
      </c>
      <c r="H320">
        <f t="shared" ca="1" si="18"/>
        <v>3.8105137204849293E-3</v>
      </c>
      <c r="I320">
        <f ca="1"/>
        <v>8.2000000000000007E-3</v>
      </c>
      <c r="J320">
        <f ca="1"/>
        <v>23.90746</v>
      </c>
    </row>
    <row r="321" spans="1:10" x14ac:dyDescent="0.25">
      <c r="A321" t="str">
        <v>1996-08-31</v>
      </c>
      <c r="B321">
        <f t="shared" ca="1" si="16"/>
        <v>73.288959158396949</v>
      </c>
      <c r="C321">
        <f ca="1"/>
        <v>157.19999999999999</v>
      </c>
      <c r="D321">
        <f ca="1"/>
        <v>6.6400000000000001E-2</v>
      </c>
      <c r="E321">
        <f t="shared" ca="1" si="17"/>
        <v>5.5333333333333337E-3</v>
      </c>
      <c r="F321">
        <f ca="1"/>
        <v>35.636699999999998</v>
      </c>
      <c r="G321">
        <f t="shared" ca="1" si="19"/>
        <v>1.2738853503184711E-3</v>
      </c>
      <c r="H321">
        <f t="shared" ca="1" si="18"/>
        <v>4.2594479830148626E-3</v>
      </c>
      <c r="I321">
        <f ca="1"/>
        <v>9.5999999999999992E-3</v>
      </c>
      <c r="J321">
        <f ca="1"/>
        <v>24.077290000000001</v>
      </c>
    </row>
    <row r="322" spans="1:10" x14ac:dyDescent="0.25">
      <c r="A322" t="str">
        <v>1996-09-30</v>
      </c>
      <c r="B322">
        <f t="shared" ref="B322:B385" ca="1" si="20">F322*$C$669/C322</f>
        <v>73.801369689283462</v>
      </c>
      <c r="C322">
        <f ca="1"/>
        <v>157.69999999999999</v>
      </c>
      <c r="D322">
        <f ca="1"/>
        <v>6.83E-2</v>
      </c>
      <c r="E322">
        <f t="shared" ca="1" si="17"/>
        <v>5.6916666666666669E-3</v>
      </c>
      <c r="F322">
        <f ca="1"/>
        <v>36</v>
      </c>
      <c r="G322">
        <f t="shared" ca="1" si="19"/>
        <v>3.1806615776082126E-3</v>
      </c>
      <c r="H322">
        <f t="shared" ca="1" si="18"/>
        <v>2.5110050890584544E-3</v>
      </c>
      <c r="I322">
        <f ca="1"/>
        <v>7.1999999999999998E-3</v>
      </c>
      <c r="J322">
        <f ca="1"/>
        <v>24.215730000000001</v>
      </c>
    </row>
    <row r="323" spans="1:10" x14ac:dyDescent="0.25">
      <c r="A323" t="str">
        <v>1996-10-31</v>
      </c>
      <c r="B323">
        <f t="shared" ca="1" si="20"/>
        <v>75.42775480404552</v>
      </c>
      <c r="C323">
        <f ca="1"/>
        <v>158.19999999999999</v>
      </c>
      <c r="D323">
        <f ca="1"/>
        <v>6.5299999999999997E-2</v>
      </c>
      <c r="E323">
        <f t="shared" ref="E323:E386" ca="1" si="21">D323/12</f>
        <v>5.4416666666666667E-3</v>
      </c>
      <c r="F323">
        <f ca="1"/>
        <v>36.909999999999997</v>
      </c>
      <c r="G323">
        <f t="shared" ca="1" si="19"/>
        <v>3.1705770450221049E-3</v>
      </c>
      <c r="H323">
        <f t="shared" ref="H323:H386" ca="1" si="22">E323-G323</f>
        <v>2.2710896216445618E-3</v>
      </c>
      <c r="I323">
        <f ca="1"/>
        <v>9.1999999999999998E-3</v>
      </c>
      <c r="J323">
        <f ca="1"/>
        <v>24.270969999999998</v>
      </c>
    </row>
    <row r="324" spans="1:10" x14ac:dyDescent="0.25">
      <c r="A324" t="str">
        <v>1996-11-30</v>
      </c>
      <c r="B324">
        <f t="shared" ca="1" si="20"/>
        <v>77.043891745431637</v>
      </c>
      <c r="C324">
        <f ca="1"/>
        <v>158.69999999999999</v>
      </c>
      <c r="D324">
        <f ca="1"/>
        <v>6.2E-2</v>
      </c>
      <c r="E324">
        <f t="shared" ca="1" si="21"/>
        <v>5.1666666666666666E-3</v>
      </c>
      <c r="F324">
        <f ca="1"/>
        <v>37.82</v>
      </c>
      <c r="G324">
        <f t="shared" ref="G324:G387" ca="1" si="23">C324/C323-1</f>
        <v>3.160556257901348E-3</v>
      </c>
      <c r="H324">
        <f t="shared" ca="1" si="22"/>
        <v>2.0061104087653187E-3</v>
      </c>
      <c r="I324">
        <f ca="1"/>
        <v>1.11E-2</v>
      </c>
      <c r="J324">
        <f ca="1"/>
        <v>24.356539999999999</v>
      </c>
    </row>
    <row r="325" spans="1:10" x14ac:dyDescent="0.25">
      <c r="A325" t="str">
        <v>1996-12-31</v>
      </c>
      <c r="B325">
        <f t="shared" ca="1" si="20"/>
        <v>78.699311313639214</v>
      </c>
      <c r="C325">
        <f ca="1"/>
        <v>159.1</v>
      </c>
      <c r="D325">
        <f ca="1"/>
        <v>6.3E-2</v>
      </c>
      <c r="E325">
        <f t="shared" ca="1" si="21"/>
        <v>5.2500000000000003E-3</v>
      </c>
      <c r="F325">
        <f ca="1"/>
        <v>38.729999999999997</v>
      </c>
      <c r="G325">
        <f t="shared" ca="1" si="23"/>
        <v>2.520478890989386E-3</v>
      </c>
      <c r="H325">
        <f t="shared" ca="1" si="22"/>
        <v>2.7295211090106143E-3</v>
      </c>
      <c r="I325">
        <f ca="1"/>
        <v>9.9000000000000008E-3</v>
      </c>
      <c r="J325">
        <f ca="1"/>
        <v>24.488019999999999</v>
      </c>
    </row>
    <row r="326" spans="1:10" x14ac:dyDescent="0.25">
      <c r="A326" t="str">
        <v>1997-01-31</v>
      </c>
      <c r="B326">
        <f t="shared" ca="1" si="20"/>
        <v>79.571974845043911</v>
      </c>
      <c r="C326">
        <f ca="1"/>
        <v>159.4</v>
      </c>
      <c r="D326">
        <f ca="1"/>
        <v>6.5799999999999997E-2</v>
      </c>
      <c r="E326">
        <f t="shared" ca="1" si="21"/>
        <v>5.4833333333333331E-3</v>
      </c>
      <c r="F326">
        <f ca="1"/>
        <v>39.2333</v>
      </c>
      <c r="G326">
        <f t="shared" ca="1" si="23"/>
        <v>1.8856065367693908E-3</v>
      </c>
      <c r="H326">
        <f t="shared" ca="1" si="22"/>
        <v>3.5977267965639423E-3</v>
      </c>
      <c r="I326">
        <f ca="1"/>
        <v>6.0000000000000001E-3</v>
      </c>
      <c r="J326">
        <f ca="1"/>
        <v>24.498390000000001</v>
      </c>
    </row>
    <row r="327" spans="1:10" x14ac:dyDescent="0.25">
      <c r="A327" t="str">
        <v>1997-02-28</v>
      </c>
      <c r="B327">
        <f t="shared" ca="1" si="20"/>
        <v>80.441562177207274</v>
      </c>
      <c r="C327">
        <f ca="1"/>
        <v>159.69999999999999</v>
      </c>
      <c r="D327">
        <f ca="1"/>
        <v>6.4199999999999993E-2</v>
      </c>
      <c r="E327">
        <f t="shared" ca="1" si="21"/>
        <v>5.3499999999999997E-3</v>
      </c>
      <c r="F327">
        <f ca="1"/>
        <v>39.736699999999999</v>
      </c>
      <c r="G327">
        <f t="shared" ca="1" si="23"/>
        <v>1.8820577164364583E-3</v>
      </c>
      <c r="H327">
        <f t="shared" ca="1" si="22"/>
        <v>3.4679422835635415E-3</v>
      </c>
      <c r="I327">
        <f ca="1"/>
        <v>6.4000000000000003E-3</v>
      </c>
      <c r="J327">
        <f ca="1"/>
        <v>24.508849999999999</v>
      </c>
    </row>
    <row r="328" spans="1:10" x14ac:dyDescent="0.25">
      <c r="A328" t="str">
        <v>1997-03-31</v>
      </c>
      <c r="B328">
        <f t="shared" ca="1" si="20"/>
        <v>81.409448310387972</v>
      </c>
      <c r="C328">
        <f ca="1"/>
        <v>159.80000000000001</v>
      </c>
      <c r="D328">
        <f ca="1"/>
        <v>6.6900000000000001E-2</v>
      </c>
      <c r="E328">
        <f t="shared" ca="1" si="21"/>
        <v>5.5750000000000001E-3</v>
      </c>
      <c r="F328">
        <f ca="1"/>
        <v>40.24</v>
      </c>
      <c r="G328">
        <f t="shared" ca="1" si="23"/>
        <v>6.2617407639331546E-4</v>
      </c>
      <c r="H328">
        <f t="shared" ca="1" si="22"/>
        <v>4.9488259236066846E-3</v>
      </c>
      <c r="I328">
        <f ca="1"/>
        <v>4.0000000000000001E-3</v>
      </c>
      <c r="J328">
        <f ca="1"/>
        <v>24.534410000000001</v>
      </c>
    </row>
    <row r="329" spans="1:10" x14ac:dyDescent="0.25">
      <c r="A329" t="str">
        <v>1997-04-30</v>
      </c>
      <c r="B329">
        <f t="shared" ca="1" si="20"/>
        <v>81.567390871169479</v>
      </c>
      <c r="C329">
        <f ca="1"/>
        <v>159.9</v>
      </c>
      <c r="D329">
        <f ca="1"/>
        <v>6.8900000000000003E-2</v>
      </c>
      <c r="E329">
        <f t="shared" ca="1" si="21"/>
        <v>5.7416666666666666E-3</v>
      </c>
      <c r="F329">
        <f ca="1"/>
        <v>40.343299999999999</v>
      </c>
      <c r="G329">
        <f t="shared" ca="1" si="23"/>
        <v>6.2578222778464365E-4</v>
      </c>
      <c r="H329">
        <f t="shared" ca="1" si="22"/>
        <v>5.115884438882023E-3</v>
      </c>
      <c r="I329">
        <f ca="1"/>
        <v>3.0999999999999999E-3</v>
      </c>
      <c r="J329">
        <f ca="1"/>
        <v>24.557960000000001</v>
      </c>
    </row>
    <row r="330" spans="1:10" x14ac:dyDescent="0.25">
      <c r="A330" t="str">
        <v>1997-05-31</v>
      </c>
      <c r="B330">
        <f t="shared" ca="1" si="20"/>
        <v>81.776448340838016</v>
      </c>
      <c r="C330">
        <f ca="1"/>
        <v>159.9</v>
      </c>
      <c r="D330">
        <f ca="1"/>
        <v>6.7100000000000007E-2</v>
      </c>
      <c r="E330">
        <f t="shared" ca="1" si="21"/>
        <v>5.5916666666666675E-3</v>
      </c>
      <c r="F330">
        <f ca="1"/>
        <v>40.4467</v>
      </c>
      <c r="G330">
        <f t="shared" ca="1" si="23"/>
        <v>0</v>
      </c>
      <c r="H330">
        <f t="shared" ca="1" si="22"/>
        <v>5.5916666666666675E-3</v>
      </c>
      <c r="I330">
        <f ca="1"/>
        <v>1.6999999999999999E-3</v>
      </c>
      <c r="J330">
        <f ca="1"/>
        <v>24.627680000000002</v>
      </c>
    </row>
    <row r="331" spans="1:10" x14ac:dyDescent="0.25">
      <c r="A331" t="str">
        <v>1997-06-30</v>
      </c>
      <c r="B331">
        <f t="shared" ca="1" si="20"/>
        <v>81.831773096129837</v>
      </c>
      <c r="C331">
        <f ca="1"/>
        <v>160.19999999999999</v>
      </c>
      <c r="D331">
        <f ca="1"/>
        <v>6.4899999999999999E-2</v>
      </c>
      <c r="E331">
        <f t="shared" ca="1" si="21"/>
        <v>5.4083333333333336E-3</v>
      </c>
      <c r="F331">
        <f ca="1"/>
        <v>40.549999999999997</v>
      </c>
      <c r="G331">
        <f t="shared" ca="1" si="23"/>
        <v>1.8761726078797558E-3</v>
      </c>
      <c r="H331">
        <f t="shared" ca="1" si="22"/>
        <v>3.5321607254535778E-3</v>
      </c>
      <c r="I331">
        <f ca="1"/>
        <v>2.2000000000000001E-3</v>
      </c>
      <c r="J331">
        <f ca="1"/>
        <v>24.6511</v>
      </c>
    </row>
    <row r="332" spans="1:10" x14ac:dyDescent="0.25">
      <c r="A332" t="str">
        <v>1997-07-31</v>
      </c>
      <c r="B332">
        <f t="shared" ca="1" si="20"/>
        <v>81.790204364089774</v>
      </c>
      <c r="C332">
        <f ca="1"/>
        <v>160.4</v>
      </c>
      <c r="D332">
        <f ca="1"/>
        <v>6.2199999999999998E-2</v>
      </c>
      <c r="E332">
        <f t="shared" ca="1" si="21"/>
        <v>5.1833333333333332E-3</v>
      </c>
      <c r="F332">
        <f ca="1"/>
        <v>40.58</v>
      </c>
      <c r="G332">
        <f t="shared" ca="1" si="23"/>
        <v>1.2484394506866447E-3</v>
      </c>
      <c r="H332">
        <f t="shared" ca="1" si="22"/>
        <v>3.9348938826466884E-3</v>
      </c>
      <c r="I332">
        <f ca="1"/>
        <v>3.3E-3</v>
      </c>
      <c r="J332">
        <f ca="1"/>
        <v>24.71247</v>
      </c>
    </row>
    <row r="333" spans="1:10" x14ac:dyDescent="0.25">
      <c r="A333" t="str">
        <v>1997-08-31</v>
      </c>
      <c r="B333">
        <f t="shared" ca="1" si="20"/>
        <v>81.647061629353232</v>
      </c>
      <c r="C333">
        <f ca="1"/>
        <v>160.80000000000001</v>
      </c>
      <c r="D333">
        <f ca="1"/>
        <v>6.3E-2</v>
      </c>
      <c r="E333">
        <f t="shared" ca="1" si="21"/>
        <v>5.2500000000000003E-3</v>
      </c>
      <c r="F333">
        <f ca="1"/>
        <v>40.61</v>
      </c>
      <c r="G333">
        <f t="shared" ca="1" si="23"/>
        <v>2.4937655860348684E-3</v>
      </c>
      <c r="H333">
        <f t="shared" ca="1" si="22"/>
        <v>2.7562344139651319E-3</v>
      </c>
      <c r="I333">
        <f ca="1"/>
        <v>2.3E-3</v>
      </c>
      <c r="J333">
        <f ca="1"/>
        <v>24.758109999999999</v>
      </c>
    </row>
    <row r="334" spans="1:10" x14ac:dyDescent="0.25">
      <c r="A334" t="str">
        <v>1997-09-30</v>
      </c>
      <c r="B334">
        <f t="shared" ca="1" si="20"/>
        <v>81.504629280397026</v>
      </c>
      <c r="C334">
        <f ca="1"/>
        <v>161.19999999999999</v>
      </c>
      <c r="D334">
        <f ca="1"/>
        <v>6.2100000000000002E-2</v>
      </c>
      <c r="E334">
        <f t="shared" ca="1" si="21"/>
        <v>5.1749999999999999E-3</v>
      </c>
      <c r="F334">
        <f ca="1"/>
        <v>40.64</v>
      </c>
      <c r="G334">
        <f t="shared" ca="1" si="23"/>
        <v>2.4875621890545485E-3</v>
      </c>
      <c r="H334">
        <f t="shared" ca="1" si="22"/>
        <v>2.6874378109454514E-3</v>
      </c>
      <c r="I334">
        <f ca="1"/>
        <v>2.8999999999999998E-3</v>
      </c>
      <c r="J334">
        <f ca="1"/>
        <v>24.788360000000001</v>
      </c>
    </row>
    <row r="335" spans="1:10" x14ac:dyDescent="0.25">
      <c r="A335" t="str">
        <v>1997-10-31</v>
      </c>
      <c r="B335">
        <f t="shared" ca="1" si="20"/>
        <v>80.739274862538693</v>
      </c>
      <c r="C335">
        <f ca="1"/>
        <v>161.5</v>
      </c>
      <c r="D335">
        <f ca="1"/>
        <v>6.0299999999999999E-2</v>
      </c>
      <c r="E335">
        <f t="shared" ca="1" si="21"/>
        <v>5.025E-3</v>
      </c>
      <c r="F335">
        <f ca="1"/>
        <v>40.333300000000001</v>
      </c>
      <c r="G335">
        <f t="shared" ca="1" si="23"/>
        <v>1.8610421836229296E-3</v>
      </c>
      <c r="H335">
        <f t="shared" ca="1" si="22"/>
        <v>3.1639578163770703E-3</v>
      </c>
      <c r="I335">
        <f ca="1"/>
        <v>4.4000000000000003E-3</v>
      </c>
      <c r="J335">
        <f ca="1"/>
        <v>24.818460000000002</v>
      </c>
    </row>
    <row r="336" spans="1:10" x14ac:dyDescent="0.25">
      <c r="A336" t="str">
        <v>1997-11-30</v>
      </c>
      <c r="B336">
        <f t="shared" ca="1" si="20"/>
        <v>80.026418489177502</v>
      </c>
      <c r="C336">
        <f ca="1"/>
        <v>161.69999999999999</v>
      </c>
      <c r="D336">
        <f ca="1"/>
        <v>5.8799999999999998E-2</v>
      </c>
      <c r="E336">
        <f t="shared" ca="1" si="21"/>
        <v>4.8999999999999998E-3</v>
      </c>
      <c r="F336">
        <f ca="1"/>
        <v>40.026699999999998</v>
      </c>
      <c r="G336">
        <f t="shared" ca="1" si="23"/>
        <v>1.2383900928791824E-3</v>
      </c>
      <c r="H336">
        <f t="shared" ca="1" si="22"/>
        <v>3.6616099071208174E-3</v>
      </c>
      <c r="I336">
        <f ca="1"/>
        <v>6.3E-3</v>
      </c>
      <c r="J336">
        <f ca="1"/>
        <v>24.925180000000001</v>
      </c>
    </row>
    <row r="337" spans="1:10" x14ac:dyDescent="0.25">
      <c r="A337" t="str">
        <v>1997-12-31</v>
      </c>
      <c r="B337">
        <f t="shared" ca="1" si="20"/>
        <v>79.364144128553761</v>
      </c>
      <c r="C337">
        <f ca="1"/>
        <v>161.80000000000001</v>
      </c>
      <c r="D337">
        <f ca="1"/>
        <v>5.8099999999999999E-2</v>
      </c>
      <c r="E337">
        <f t="shared" ca="1" si="21"/>
        <v>4.8416666666666669E-3</v>
      </c>
      <c r="F337">
        <f ca="1"/>
        <v>39.72</v>
      </c>
      <c r="G337">
        <f t="shared" ca="1" si="23"/>
        <v>6.1842918985788309E-4</v>
      </c>
      <c r="H337">
        <f t="shared" ca="1" si="22"/>
        <v>4.2232374768087838E-3</v>
      </c>
      <c r="I337">
        <f ca="1"/>
        <v>6.1999999999999998E-3</v>
      </c>
      <c r="J337">
        <f ca="1"/>
        <v>25.047709999999999</v>
      </c>
    </row>
    <row r="338" spans="1:10" x14ac:dyDescent="0.25">
      <c r="A338" t="str">
        <v>1998-01-31</v>
      </c>
      <c r="B338">
        <f t="shared" ca="1" si="20"/>
        <v>79.146426296296283</v>
      </c>
      <c r="C338">
        <f ca="1"/>
        <v>162</v>
      </c>
      <c r="D338">
        <f ca="1"/>
        <v>5.5399999999999998E-2</v>
      </c>
      <c r="E338">
        <f t="shared" ca="1" si="21"/>
        <v>4.6166666666666665E-3</v>
      </c>
      <c r="F338">
        <f ca="1"/>
        <v>39.659999999999997</v>
      </c>
      <c r="G338">
        <f t="shared" ca="1" si="23"/>
        <v>1.2360939431395046E-3</v>
      </c>
      <c r="H338">
        <f t="shared" ca="1" si="22"/>
        <v>3.3805727235271619E-3</v>
      </c>
      <c r="I338">
        <f ca="1"/>
        <v>8.9999999999999993E-3</v>
      </c>
      <c r="J338">
        <f ca="1"/>
        <v>25.081859999999999</v>
      </c>
    </row>
    <row r="339" spans="1:10" x14ac:dyDescent="0.25">
      <c r="A339" t="str">
        <v>1998-02-28</v>
      </c>
      <c r="B339">
        <f t="shared" ca="1" si="20"/>
        <v>79.026688888888884</v>
      </c>
      <c r="C339">
        <f ca="1"/>
        <v>162</v>
      </c>
      <c r="D339">
        <f ca="1"/>
        <v>5.57E-2</v>
      </c>
      <c r="E339">
        <f t="shared" ca="1" si="21"/>
        <v>4.6416666666666663E-3</v>
      </c>
      <c r="F339">
        <f ca="1"/>
        <v>39.6</v>
      </c>
      <c r="G339">
        <f t="shared" ca="1" si="23"/>
        <v>0</v>
      </c>
      <c r="H339">
        <f t="shared" ca="1" si="22"/>
        <v>4.6416666666666663E-3</v>
      </c>
      <c r="I339">
        <f ca="1"/>
        <v>7.0000000000000001E-3</v>
      </c>
      <c r="J339">
        <f ca="1"/>
        <v>25.115880000000001</v>
      </c>
    </row>
    <row r="340" spans="1:10" x14ac:dyDescent="0.25">
      <c r="A340" t="str">
        <v>1998-03-31</v>
      </c>
      <c r="B340">
        <f t="shared" ca="1" si="20"/>
        <v>78.906951481481485</v>
      </c>
      <c r="C340">
        <f ca="1"/>
        <v>162</v>
      </c>
      <c r="D340">
        <f ca="1"/>
        <v>5.6500000000000002E-2</v>
      </c>
      <c r="E340">
        <f t="shared" ca="1" si="21"/>
        <v>4.7083333333333335E-3</v>
      </c>
      <c r="F340">
        <f ca="1"/>
        <v>39.54</v>
      </c>
      <c r="G340">
        <f t="shared" ca="1" si="23"/>
        <v>0</v>
      </c>
      <c r="H340">
        <f t="shared" ca="1" si="22"/>
        <v>4.7083333333333335E-3</v>
      </c>
      <c r="I340">
        <f ca="1"/>
        <v>4.7000000000000002E-3</v>
      </c>
      <c r="J340">
        <f ca="1"/>
        <v>25.133710000000001</v>
      </c>
    </row>
    <row r="341" spans="1:10" x14ac:dyDescent="0.25">
      <c r="A341" t="str">
        <v>1998-04-30</v>
      </c>
      <c r="B341">
        <f t="shared" ca="1" si="20"/>
        <v>78.430954685573369</v>
      </c>
      <c r="C341">
        <f ca="1"/>
        <v>162.19999999999999</v>
      </c>
      <c r="D341">
        <f ca="1"/>
        <v>5.6399999999999999E-2</v>
      </c>
      <c r="E341">
        <f t="shared" ca="1" si="21"/>
        <v>4.7000000000000002E-3</v>
      </c>
      <c r="F341">
        <f ca="1"/>
        <v>39.35</v>
      </c>
      <c r="G341">
        <f t="shared" ca="1" si="23"/>
        <v>1.2345679012344402E-3</v>
      </c>
      <c r="H341">
        <f t="shared" ca="1" si="22"/>
        <v>3.46543209876556E-3</v>
      </c>
      <c r="I341">
        <f ca="1"/>
        <v>3.7000000000000002E-3</v>
      </c>
      <c r="J341">
        <f ca="1"/>
        <v>25.263750000000002</v>
      </c>
    </row>
    <row r="342" spans="1:10" x14ac:dyDescent="0.25">
      <c r="A342" t="str">
        <v>1998-05-31</v>
      </c>
      <c r="B342">
        <f t="shared" ca="1" si="20"/>
        <v>77.860243296432969</v>
      </c>
      <c r="C342">
        <f ca="1"/>
        <v>162.6</v>
      </c>
      <c r="D342">
        <f ca="1"/>
        <v>5.6500000000000002E-2</v>
      </c>
      <c r="E342">
        <f t="shared" ca="1" si="21"/>
        <v>4.7083333333333335E-3</v>
      </c>
      <c r="F342">
        <f ca="1"/>
        <v>39.159999999999997</v>
      </c>
      <c r="G342">
        <f t="shared" ca="1" si="23"/>
        <v>2.4660912453762229E-3</v>
      </c>
      <c r="H342">
        <f t="shared" ca="1" si="22"/>
        <v>2.2422420879571105E-3</v>
      </c>
      <c r="I342">
        <f ca="1"/>
        <v>3.7000000000000002E-3</v>
      </c>
      <c r="J342">
        <f ca="1"/>
        <v>25.377310000000001</v>
      </c>
    </row>
    <row r="343" spans="1:10" x14ac:dyDescent="0.25">
      <c r="A343" t="str">
        <v>1998-06-30</v>
      </c>
      <c r="B343">
        <f t="shared" ca="1" si="20"/>
        <v>77.387286670761668</v>
      </c>
      <c r="C343">
        <f ca="1"/>
        <v>162.80000000000001</v>
      </c>
      <c r="D343">
        <f ca="1"/>
        <v>5.5E-2</v>
      </c>
      <c r="E343">
        <f t="shared" ca="1" si="21"/>
        <v>4.5833333333333334E-3</v>
      </c>
      <c r="F343">
        <f ca="1"/>
        <v>38.97</v>
      </c>
      <c r="G343">
        <f t="shared" ca="1" si="23"/>
        <v>1.2300123001232066E-3</v>
      </c>
      <c r="H343">
        <f t="shared" ca="1" si="22"/>
        <v>3.3533210332101267E-3</v>
      </c>
      <c r="I343">
        <f ca="1"/>
        <v>5.0000000000000001E-3</v>
      </c>
      <c r="J343">
        <f ca="1"/>
        <v>25.506080000000001</v>
      </c>
    </row>
    <row r="344" spans="1:10" x14ac:dyDescent="0.25">
      <c r="A344" t="str">
        <v>1998-07-31</v>
      </c>
      <c r="B344">
        <f t="shared" ca="1" si="20"/>
        <v>76.616599385416663</v>
      </c>
      <c r="C344">
        <f ca="1"/>
        <v>163.19999999999999</v>
      </c>
      <c r="D344">
        <f ca="1"/>
        <v>5.4600000000000003E-2</v>
      </c>
      <c r="E344">
        <f t="shared" ca="1" si="21"/>
        <v>4.5500000000000002E-3</v>
      </c>
      <c r="F344">
        <f ca="1"/>
        <v>38.676699999999997</v>
      </c>
      <c r="G344">
        <f t="shared" ca="1" si="23"/>
        <v>2.4570024570023108E-3</v>
      </c>
      <c r="H344">
        <f t="shared" ca="1" si="22"/>
        <v>2.0929975429976894E-3</v>
      </c>
      <c r="I344">
        <f ca="1"/>
        <v>4.1000000000000003E-3</v>
      </c>
      <c r="J344">
        <f ca="1"/>
        <v>25.58135</v>
      </c>
    </row>
    <row r="345" spans="1:10" x14ac:dyDescent="0.25">
      <c r="A345" t="str">
        <v>1998-08-31</v>
      </c>
      <c r="B345">
        <f t="shared" ca="1" si="20"/>
        <v>75.942322156058736</v>
      </c>
      <c r="C345">
        <f ca="1"/>
        <v>163.4</v>
      </c>
      <c r="D345">
        <f ca="1"/>
        <v>5.3400000000000003E-2</v>
      </c>
      <c r="E345">
        <f t="shared" ca="1" si="21"/>
        <v>4.45E-3</v>
      </c>
      <c r="F345">
        <f ca="1"/>
        <v>38.383299999999998</v>
      </c>
      <c r="G345">
        <f t="shared" ca="1" si="23"/>
        <v>1.225490196078427E-3</v>
      </c>
      <c r="H345">
        <f t="shared" ca="1" si="22"/>
        <v>3.2245098039215729E-3</v>
      </c>
      <c r="I345">
        <f ca="1"/>
        <v>7.0000000000000001E-3</v>
      </c>
      <c r="J345">
        <f ca="1"/>
        <v>25.656279999999999</v>
      </c>
    </row>
    <row r="346" spans="1:10" x14ac:dyDescent="0.25">
      <c r="A346" t="str">
        <v>1998-09-30</v>
      </c>
      <c r="B346">
        <f t="shared" ca="1" si="20"/>
        <v>75.3159277675841</v>
      </c>
      <c r="C346">
        <f ca="1"/>
        <v>163.5</v>
      </c>
      <c r="D346">
        <f ca="1"/>
        <v>4.8099999999999997E-2</v>
      </c>
      <c r="E346">
        <f t="shared" ca="1" si="21"/>
        <v>4.0083333333333334E-3</v>
      </c>
      <c r="F346">
        <f ca="1"/>
        <v>38.090000000000003</v>
      </c>
      <c r="G346">
        <f t="shared" ca="1" si="23"/>
        <v>6.1199510403908697E-4</v>
      </c>
      <c r="H346">
        <f t="shared" ca="1" si="22"/>
        <v>3.3963382292942464E-3</v>
      </c>
      <c r="I346">
        <f ca="1"/>
        <v>1.34E-2</v>
      </c>
      <c r="J346">
        <f ca="1"/>
        <v>25.715260000000001</v>
      </c>
    </row>
    <row r="347" spans="1:10" x14ac:dyDescent="0.25">
      <c r="A347" t="str">
        <v>1998-10-31</v>
      </c>
      <c r="B347">
        <f t="shared" ca="1" si="20"/>
        <v>74.882203906650389</v>
      </c>
      <c r="C347">
        <f ca="1"/>
        <v>163.9</v>
      </c>
      <c r="D347">
        <f ca="1"/>
        <v>4.53E-2</v>
      </c>
      <c r="E347">
        <f t="shared" ca="1" si="21"/>
        <v>3.7750000000000001E-3</v>
      </c>
      <c r="F347">
        <f ca="1"/>
        <v>37.963299999999997</v>
      </c>
      <c r="G347">
        <f t="shared" ca="1" si="23"/>
        <v>2.4464831804280607E-3</v>
      </c>
      <c r="H347">
        <f t="shared" ca="1" si="22"/>
        <v>1.3285168195719395E-3</v>
      </c>
      <c r="I347">
        <f ca="1"/>
        <v>1.5900000000000001E-2</v>
      </c>
      <c r="J347">
        <f ca="1"/>
        <v>25.694970000000001</v>
      </c>
    </row>
    <row r="348" spans="1:10" x14ac:dyDescent="0.25">
      <c r="A348" t="str">
        <v>1998-11-30</v>
      </c>
      <c r="B348">
        <f t="shared" ca="1" si="20"/>
        <v>74.54152699390616</v>
      </c>
      <c r="C348">
        <f ca="1"/>
        <v>164.1</v>
      </c>
      <c r="D348">
        <f ca="1"/>
        <v>4.8300000000000003E-2</v>
      </c>
      <c r="E348">
        <f t="shared" ca="1" si="21"/>
        <v>4.0249999999999999E-3</v>
      </c>
      <c r="F348">
        <f ca="1"/>
        <v>37.8367</v>
      </c>
      <c r="G348">
        <f t="shared" ca="1" si="23"/>
        <v>1.2202562538132788E-3</v>
      </c>
      <c r="H348">
        <f t="shared" ca="1" si="22"/>
        <v>2.8047437461867211E-3</v>
      </c>
      <c r="I348">
        <f ca="1"/>
        <v>9.9000000000000008E-3</v>
      </c>
      <c r="J348">
        <f ca="1"/>
        <v>25.721360000000001</v>
      </c>
    </row>
    <row r="349" spans="1:10" x14ac:dyDescent="0.25">
      <c r="A349" t="str">
        <v>1998-12-31</v>
      </c>
      <c r="B349">
        <f t="shared" ca="1" si="20"/>
        <v>74.156347992700731</v>
      </c>
      <c r="C349">
        <f ca="1"/>
        <v>164.4</v>
      </c>
      <c r="D349">
        <f ca="1"/>
        <v>4.65E-2</v>
      </c>
      <c r="E349">
        <f t="shared" ca="1" si="21"/>
        <v>3.875E-3</v>
      </c>
      <c r="F349">
        <f ca="1"/>
        <v>37.71</v>
      </c>
      <c r="G349">
        <f t="shared" ca="1" si="23"/>
        <v>1.8281535648996261E-3</v>
      </c>
      <c r="H349">
        <f t="shared" ca="1" si="22"/>
        <v>2.0468464351003739E-3</v>
      </c>
      <c r="I349">
        <f ca="1"/>
        <v>1.0500000000000001E-2</v>
      </c>
      <c r="J349">
        <f ca="1"/>
        <v>25.76361</v>
      </c>
    </row>
    <row r="350" spans="1:10" x14ac:dyDescent="0.25">
      <c r="A350" t="str">
        <v>1999-01-31</v>
      </c>
      <c r="B350">
        <f t="shared" ca="1" si="20"/>
        <v>74.459648992289019</v>
      </c>
      <c r="C350">
        <f ca="1"/>
        <v>164.7</v>
      </c>
      <c r="D350">
        <f ca="1"/>
        <v>4.7199999999999999E-2</v>
      </c>
      <c r="E350">
        <f t="shared" ca="1" si="21"/>
        <v>3.933333333333333E-3</v>
      </c>
      <c r="F350">
        <f ca="1"/>
        <v>37.933329999999998</v>
      </c>
      <c r="G350">
        <f t="shared" ca="1" si="23"/>
        <v>1.8248175182480342E-3</v>
      </c>
      <c r="H350">
        <f t="shared" ca="1" si="22"/>
        <v>2.1085158150852988E-3</v>
      </c>
      <c r="I350">
        <f ca="1"/>
        <v>8.3999999999999995E-3</v>
      </c>
      <c r="J350">
        <f ca="1"/>
        <v>25.833089999999999</v>
      </c>
    </row>
    <row r="351" spans="1:10" x14ac:dyDescent="0.25">
      <c r="A351" t="str">
        <v>1999-02-28</v>
      </c>
      <c r="B351">
        <f t="shared" ca="1" si="20"/>
        <v>74.898044936065574</v>
      </c>
      <c r="C351">
        <f ca="1"/>
        <v>164.7</v>
      </c>
      <c r="D351">
        <f ca="1"/>
        <v>0.05</v>
      </c>
      <c r="E351">
        <f t="shared" ca="1" si="21"/>
        <v>4.1666666666666666E-3</v>
      </c>
      <c r="F351">
        <f ca="1"/>
        <v>38.156669999999998</v>
      </c>
      <c r="G351">
        <f t="shared" ca="1" si="23"/>
        <v>0</v>
      </c>
      <c r="H351">
        <f t="shared" ca="1" si="22"/>
        <v>4.1666666666666666E-3</v>
      </c>
      <c r="I351">
        <f ca="1"/>
        <v>5.4000000000000003E-3</v>
      </c>
      <c r="J351">
        <f ca="1"/>
        <v>25.933730000000001</v>
      </c>
    </row>
    <row r="352" spans="1:10" x14ac:dyDescent="0.25">
      <c r="A352" t="str">
        <v>1999-03-31</v>
      </c>
      <c r="B352">
        <f t="shared" ca="1" si="20"/>
        <v>75.290707402912616</v>
      </c>
      <c r="C352">
        <f ca="1"/>
        <v>164.8</v>
      </c>
      <c r="D352">
        <f ca="1"/>
        <v>5.2299999999999999E-2</v>
      </c>
      <c r="E352">
        <f t="shared" ca="1" si="21"/>
        <v>4.358333333333333E-3</v>
      </c>
      <c r="F352">
        <f ca="1"/>
        <v>38.380000000000003</v>
      </c>
      <c r="G352">
        <f t="shared" ca="1" si="23"/>
        <v>6.0716454159082112E-4</v>
      </c>
      <c r="H352">
        <f t="shared" ca="1" si="22"/>
        <v>3.7511687917425119E-3</v>
      </c>
      <c r="I352">
        <f ca="1"/>
        <v>2.3E-3</v>
      </c>
      <c r="J352">
        <f ca="1"/>
        <v>25.986789999999999</v>
      </c>
    </row>
    <row r="353" spans="1:10" x14ac:dyDescent="0.25">
      <c r="A353" t="str">
        <v>1999-04-30</v>
      </c>
      <c r="B353">
        <f t="shared" ca="1" si="20"/>
        <v>76.506357203134399</v>
      </c>
      <c r="C353">
        <f ca="1"/>
        <v>165.9</v>
      </c>
      <c r="D353">
        <f ca="1"/>
        <v>5.1799999999999999E-2</v>
      </c>
      <c r="E353">
        <f t="shared" ca="1" si="21"/>
        <v>4.3166666666666666E-3</v>
      </c>
      <c r="F353">
        <f ca="1"/>
        <v>39.26</v>
      </c>
      <c r="G353">
        <f t="shared" ca="1" si="23"/>
        <v>6.6747572815533118E-3</v>
      </c>
      <c r="H353">
        <f t="shared" ca="1" si="22"/>
        <v>-2.3580906148866453E-3</v>
      </c>
      <c r="I353">
        <f ca="1"/>
        <v>2.0999999999999999E-3</v>
      </c>
      <c r="J353">
        <f ca="1"/>
        <v>25.799160000000001</v>
      </c>
    </row>
    <row r="354" spans="1:10" x14ac:dyDescent="0.25">
      <c r="A354" t="str">
        <v>1999-05-31</v>
      </c>
      <c r="B354">
        <f t="shared" ca="1" si="20"/>
        <v>78.174100843373495</v>
      </c>
      <c r="C354">
        <f ca="1"/>
        <v>166</v>
      </c>
      <c r="D354">
        <f ca="1"/>
        <v>5.5399999999999998E-2</v>
      </c>
      <c r="E354">
        <f t="shared" ca="1" si="21"/>
        <v>4.6166666666666665E-3</v>
      </c>
      <c r="F354">
        <f ca="1"/>
        <v>40.14</v>
      </c>
      <c r="G354">
        <f t="shared" ca="1" si="23"/>
        <v>6.027727546713546E-4</v>
      </c>
      <c r="H354">
        <f t="shared" ca="1" si="22"/>
        <v>4.0138939119953119E-3</v>
      </c>
      <c r="I354">
        <f ca="1"/>
        <v>-2E-3</v>
      </c>
      <c r="J354">
        <f ca="1"/>
        <v>25.799160000000001</v>
      </c>
    </row>
    <row r="355" spans="1:10" x14ac:dyDescent="0.25">
      <c r="A355" t="str">
        <v>1999-06-30</v>
      </c>
      <c r="B355">
        <f t="shared" ca="1" si="20"/>
        <v>79.887932650602423</v>
      </c>
      <c r="C355">
        <f ca="1"/>
        <v>166</v>
      </c>
      <c r="D355">
        <f ca="1"/>
        <v>5.8999999999999997E-2</v>
      </c>
      <c r="E355">
        <f t="shared" ca="1" si="21"/>
        <v>4.9166666666666664E-3</v>
      </c>
      <c r="F355">
        <f ca="1"/>
        <v>41.02</v>
      </c>
      <c r="G355">
        <f t="shared" ca="1" si="23"/>
        <v>0</v>
      </c>
      <c r="H355">
        <f t="shared" ca="1" si="22"/>
        <v>4.9166666666666664E-3</v>
      </c>
      <c r="I355">
        <f ca="1"/>
        <v>-5.7000000000000002E-3</v>
      </c>
      <c r="J355">
        <f ca="1"/>
        <v>25.799160000000001</v>
      </c>
    </row>
    <row r="356" spans="1:10" x14ac:dyDescent="0.25">
      <c r="A356" t="str">
        <v>1999-07-31</v>
      </c>
      <c r="B356">
        <f t="shared" ca="1" si="20"/>
        <v>81.453041391721655</v>
      </c>
      <c r="C356">
        <f ca="1"/>
        <v>166.7</v>
      </c>
      <c r="D356">
        <f ca="1"/>
        <v>5.79E-2</v>
      </c>
      <c r="E356">
        <f t="shared" ca="1" si="21"/>
        <v>4.8250000000000003E-3</v>
      </c>
      <c r="F356">
        <f ca="1"/>
        <v>42</v>
      </c>
      <c r="G356">
        <f t="shared" ca="1" si="23"/>
        <v>4.2168674698794817E-3</v>
      </c>
      <c r="H356">
        <f t="shared" ca="1" si="22"/>
        <v>6.0813253012051861E-4</v>
      </c>
      <c r="I356">
        <f ca="1"/>
        <v>-5.4000000000000003E-3</v>
      </c>
      <c r="J356">
        <f ca="1"/>
        <v>25.820810000000002</v>
      </c>
    </row>
    <row r="357" spans="1:10" x14ac:dyDescent="0.25">
      <c r="A357" t="str">
        <v>1999-08-31</v>
      </c>
      <c r="B357">
        <f t="shared" ca="1" si="20"/>
        <v>83.154082465589468</v>
      </c>
      <c r="C357">
        <f ca="1"/>
        <v>167.1</v>
      </c>
      <c r="D357">
        <f ca="1"/>
        <v>5.9400000000000001E-2</v>
      </c>
      <c r="E357">
        <f t="shared" ca="1" si="21"/>
        <v>4.9500000000000004E-3</v>
      </c>
      <c r="F357">
        <f ca="1"/>
        <v>42.98</v>
      </c>
      <c r="G357">
        <f t="shared" ca="1" si="23"/>
        <v>2.3995200959807672E-3</v>
      </c>
      <c r="H357">
        <f t="shared" ca="1" si="22"/>
        <v>2.5504799040192332E-3</v>
      </c>
      <c r="I357">
        <f ca="1"/>
        <v>-5.7999999999999996E-3</v>
      </c>
      <c r="J357">
        <f ca="1"/>
        <v>25.857790000000001</v>
      </c>
    </row>
    <row r="358" spans="1:10" x14ac:dyDescent="0.25">
      <c r="A358" t="str">
        <v>1999-09-30</v>
      </c>
      <c r="B358">
        <f t="shared" ca="1" si="20"/>
        <v>84.69530607866507</v>
      </c>
      <c r="C358">
        <f ca="1"/>
        <v>167.8</v>
      </c>
      <c r="D358">
        <f ca="1"/>
        <v>5.9200000000000003E-2</v>
      </c>
      <c r="E358">
        <f t="shared" ca="1" si="21"/>
        <v>4.9333333333333338E-3</v>
      </c>
      <c r="F358">
        <f ca="1"/>
        <v>43.96</v>
      </c>
      <c r="G358">
        <f t="shared" ca="1" si="23"/>
        <v>4.1891083183722699E-3</v>
      </c>
      <c r="H358">
        <f t="shared" ca="1" si="22"/>
        <v>7.4422501496106391E-4</v>
      </c>
      <c r="I358">
        <f ca="1"/>
        <v>-5.1000000000000004E-3</v>
      </c>
      <c r="J358">
        <f ca="1"/>
        <v>25.832909999999998</v>
      </c>
    </row>
    <row r="359" spans="1:10" x14ac:dyDescent="0.25">
      <c r="A359" t="str">
        <v>1999-10-31</v>
      </c>
      <c r="B359">
        <f t="shared" ca="1" si="20"/>
        <v>87.243047703926237</v>
      </c>
      <c r="C359">
        <f ca="1"/>
        <v>168.1</v>
      </c>
      <c r="D359">
        <f ca="1"/>
        <v>6.1100000000000002E-2</v>
      </c>
      <c r="E359">
        <f t="shared" ca="1" si="21"/>
        <v>5.0916666666666671E-3</v>
      </c>
      <c r="F359">
        <f ca="1"/>
        <v>45.363329999999998</v>
      </c>
      <c r="G359">
        <f t="shared" ca="1" si="23"/>
        <v>1.7878426698449967E-3</v>
      </c>
      <c r="H359">
        <f t="shared" ca="1" si="22"/>
        <v>3.3038239968216703E-3</v>
      </c>
      <c r="I359">
        <f ca="1"/>
        <v>-6.7999999999999996E-3</v>
      </c>
      <c r="J359">
        <f ca="1"/>
        <v>25.812660000000001</v>
      </c>
    </row>
    <row r="360" spans="1:10" x14ac:dyDescent="0.25">
      <c r="A360" t="str">
        <v>1999-11-30</v>
      </c>
      <c r="B360">
        <f t="shared" ca="1" si="20"/>
        <v>89.781731062767221</v>
      </c>
      <c r="C360">
        <f ca="1"/>
        <v>168.4</v>
      </c>
      <c r="D360">
        <f ca="1"/>
        <v>6.0299999999999999E-2</v>
      </c>
      <c r="E360">
        <f t="shared" ca="1" si="21"/>
        <v>5.025E-3</v>
      </c>
      <c r="F360">
        <f ca="1"/>
        <v>46.766669999999998</v>
      </c>
      <c r="G360">
        <f t="shared" ca="1" si="23"/>
        <v>1.7846519928614857E-3</v>
      </c>
      <c r="H360">
        <f t="shared" ca="1" si="22"/>
        <v>3.2403480071385143E-3</v>
      </c>
      <c r="I360">
        <f ca="1"/>
        <v>-7.7000000000000002E-3</v>
      </c>
      <c r="J360">
        <f ca="1"/>
        <v>25.823129999999999</v>
      </c>
    </row>
    <row r="361" spans="1:10" x14ac:dyDescent="0.25">
      <c r="A361" t="str">
        <v>1999-12-31</v>
      </c>
      <c r="B361">
        <f t="shared" ca="1" si="20"/>
        <v>92.256679324644551</v>
      </c>
      <c r="C361">
        <f ca="1"/>
        <v>168.8</v>
      </c>
      <c r="D361">
        <f ca="1"/>
        <v>6.2799999999999995E-2</v>
      </c>
      <c r="E361">
        <f t="shared" ca="1" si="21"/>
        <v>5.2333333333333329E-3</v>
      </c>
      <c r="F361">
        <f ca="1"/>
        <v>48.17</v>
      </c>
      <c r="G361">
        <f t="shared" ca="1" si="23"/>
        <v>2.3752969121140222E-3</v>
      </c>
      <c r="H361">
        <f t="shared" ca="1" si="22"/>
        <v>2.8580364212193107E-3</v>
      </c>
      <c r="I361">
        <f ca="1"/>
        <v>-1.09E-2</v>
      </c>
      <c r="J361">
        <f ca="1"/>
        <v>25.848949999999999</v>
      </c>
    </row>
    <row r="362" spans="1:10" x14ac:dyDescent="0.25">
      <c r="A362" t="str">
        <v>2000-01-31</v>
      </c>
      <c r="B362">
        <f t="shared" ca="1" si="20"/>
        <v>93.753759840342582</v>
      </c>
      <c r="C362">
        <f ca="1"/>
        <v>169.3</v>
      </c>
      <c r="D362">
        <f ca="1"/>
        <v>6.6600000000000006E-2</v>
      </c>
      <c r="E362">
        <f t="shared" ca="1" si="21"/>
        <v>5.5500000000000002E-3</v>
      </c>
      <c r="F362">
        <f ca="1"/>
        <v>49.096670000000003</v>
      </c>
      <c r="G362">
        <f t="shared" ca="1" si="23"/>
        <v>2.962085308056972E-3</v>
      </c>
      <c r="H362">
        <f t="shared" ca="1" si="22"/>
        <v>2.5879146919430282E-3</v>
      </c>
      <c r="I362">
        <f ca="1"/>
        <v>-1.52E-2</v>
      </c>
      <c r="J362">
        <f ca="1"/>
        <v>25.808409999999999</v>
      </c>
    </row>
    <row r="363" spans="1:10" x14ac:dyDescent="0.25">
      <c r="A363" t="str">
        <v>2000-02-29</v>
      </c>
      <c r="B363">
        <f t="shared" ca="1" si="20"/>
        <v>95.129955170764703</v>
      </c>
      <c r="C363">
        <f ca="1"/>
        <v>170</v>
      </c>
      <c r="D363">
        <f ca="1"/>
        <v>6.5199999999999994E-2</v>
      </c>
      <c r="E363">
        <f t="shared" ca="1" si="21"/>
        <v>5.4333333333333326E-3</v>
      </c>
      <c r="F363">
        <f ca="1"/>
        <v>50.023330000000001</v>
      </c>
      <c r="G363">
        <f t="shared" ca="1" si="23"/>
        <v>4.1346721795627595E-3</v>
      </c>
      <c r="H363">
        <f t="shared" ca="1" si="22"/>
        <v>1.2986611537705731E-3</v>
      </c>
      <c r="I363">
        <f ca="1"/>
        <v>-1.2800000000000001E-2</v>
      </c>
      <c r="J363">
        <f ca="1"/>
        <v>25.692240000000002</v>
      </c>
    </row>
    <row r="364" spans="1:10" x14ac:dyDescent="0.25">
      <c r="A364" t="str">
        <v>2000-03-31</v>
      </c>
      <c r="B364">
        <f t="shared" ca="1" si="20"/>
        <v>96.325593274853802</v>
      </c>
      <c r="C364">
        <f ca="1"/>
        <v>171</v>
      </c>
      <c r="D364">
        <f ca="1"/>
        <v>6.2600000000000003E-2</v>
      </c>
      <c r="E364">
        <f t="shared" ca="1" si="21"/>
        <v>5.2166666666666672E-3</v>
      </c>
      <c r="F364">
        <f ca="1"/>
        <v>50.95</v>
      </c>
      <c r="G364">
        <f t="shared" ca="1" si="23"/>
        <v>5.8823529411764497E-3</v>
      </c>
      <c r="H364">
        <f t="shared" ca="1" si="22"/>
        <v>-6.656862745097825E-4</v>
      </c>
      <c r="I364">
        <f ca="1"/>
        <v>-1.0500000000000001E-2</v>
      </c>
      <c r="J364">
        <f ca="1"/>
        <v>25.517659999999999</v>
      </c>
    </row>
    <row r="365" spans="1:10" x14ac:dyDescent="0.25">
      <c r="A365" t="str">
        <v>2000-04-30</v>
      </c>
      <c r="B365">
        <f t="shared" ca="1" si="20"/>
        <v>96.993599350672909</v>
      </c>
      <c r="C365">
        <f ca="1"/>
        <v>170.9</v>
      </c>
      <c r="D365">
        <f ca="1"/>
        <v>5.9900000000000002E-2</v>
      </c>
      <c r="E365">
        <f t="shared" ca="1" si="21"/>
        <v>4.9916666666666668E-3</v>
      </c>
      <c r="F365">
        <f ca="1"/>
        <v>51.273330000000001</v>
      </c>
      <c r="G365">
        <f t="shared" ca="1" si="23"/>
        <v>-5.847953216373547E-4</v>
      </c>
      <c r="H365">
        <f t="shared" ca="1" si="22"/>
        <v>5.5764619883040215E-3</v>
      </c>
      <c r="I365">
        <f ca="1"/>
        <v>-8.0999999999999996E-3</v>
      </c>
      <c r="J365">
        <f ca="1"/>
        <v>25.472329999999999</v>
      </c>
    </row>
    <row r="366" spans="1:10" x14ac:dyDescent="0.25">
      <c r="A366" t="str">
        <v>2000-05-31</v>
      </c>
      <c r="B366">
        <f t="shared" ca="1" si="20"/>
        <v>97.434223370151884</v>
      </c>
      <c r="C366">
        <f ca="1"/>
        <v>171.2</v>
      </c>
      <c r="D366">
        <f ca="1"/>
        <v>6.4399999999999999E-2</v>
      </c>
      <c r="E366">
        <f t="shared" ca="1" si="21"/>
        <v>5.3666666666666663E-3</v>
      </c>
      <c r="F366">
        <f ca="1"/>
        <v>51.596670000000003</v>
      </c>
      <c r="G366">
        <f t="shared" ca="1" si="23"/>
        <v>1.7554125219425565E-3</v>
      </c>
      <c r="H366">
        <f t="shared" ca="1" si="22"/>
        <v>3.6112541447241098E-3</v>
      </c>
      <c r="I366">
        <f ca="1"/>
        <v>-1.18E-2</v>
      </c>
      <c r="J366">
        <f ca="1"/>
        <v>25.412230000000001</v>
      </c>
    </row>
    <row r="367" spans="1:10" x14ac:dyDescent="0.25">
      <c r="A367" t="str">
        <v>2000-06-30</v>
      </c>
      <c r="B367">
        <f t="shared" ca="1" si="20"/>
        <v>97.475428106852505</v>
      </c>
      <c r="C367">
        <f ca="1"/>
        <v>172.2</v>
      </c>
      <c r="D367">
        <f ca="1"/>
        <v>6.0999999999999999E-2</v>
      </c>
      <c r="E367">
        <f t="shared" ca="1" si="21"/>
        <v>5.0833333333333329E-3</v>
      </c>
      <c r="F367">
        <f ca="1"/>
        <v>51.92</v>
      </c>
      <c r="G367">
        <f t="shared" ca="1" si="23"/>
        <v>5.8411214953271173E-3</v>
      </c>
      <c r="H367">
        <f t="shared" ca="1" si="22"/>
        <v>-7.577881619937844E-4</v>
      </c>
      <c r="I367">
        <f ca="1"/>
        <v>-8.8999999999999999E-3</v>
      </c>
      <c r="J367">
        <f ca="1"/>
        <v>25.24933</v>
      </c>
    </row>
    <row r="368" spans="1:10" x14ac:dyDescent="0.25">
      <c r="A368" t="str">
        <v>2000-07-31</v>
      </c>
      <c r="B368">
        <f t="shared" ca="1" si="20"/>
        <v>98.303919913317912</v>
      </c>
      <c r="C368">
        <f ca="1"/>
        <v>172.7</v>
      </c>
      <c r="D368">
        <f ca="1"/>
        <v>6.0499999999999998E-2</v>
      </c>
      <c r="E368">
        <f t="shared" ca="1" si="21"/>
        <v>5.0416666666666665E-3</v>
      </c>
      <c r="F368">
        <f ca="1"/>
        <v>52.513330000000003</v>
      </c>
      <c r="G368">
        <f t="shared" ca="1" si="23"/>
        <v>2.9036004645761615E-3</v>
      </c>
      <c r="H368">
        <f t="shared" ca="1" si="22"/>
        <v>2.138066202090505E-3</v>
      </c>
      <c r="I368">
        <f ca="1"/>
        <v>-8.6E-3</v>
      </c>
      <c r="J368">
        <f ca="1"/>
        <v>25.014900000000001</v>
      </c>
    </row>
    <row r="369" spans="1:10" x14ac:dyDescent="0.25">
      <c r="A369" t="str">
        <v>2000-08-31</v>
      </c>
      <c r="B369">
        <f t="shared" ca="1" si="20"/>
        <v>99.414640712044019</v>
      </c>
      <c r="C369">
        <f ca="1"/>
        <v>172.7</v>
      </c>
      <c r="D369">
        <f ca="1"/>
        <v>5.8299999999999998E-2</v>
      </c>
      <c r="E369">
        <f t="shared" ca="1" si="21"/>
        <v>4.8583333333333334E-3</v>
      </c>
      <c r="F369">
        <f ca="1"/>
        <v>53.106670000000001</v>
      </c>
      <c r="G369">
        <f t="shared" ca="1" si="23"/>
        <v>0</v>
      </c>
      <c r="H369">
        <f t="shared" ca="1" si="22"/>
        <v>4.8583333333333334E-3</v>
      </c>
      <c r="I369">
        <f ca="1"/>
        <v>-7.4000000000000003E-3</v>
      </c>
      <c r="J369">
        <f ca="1"/>
        <v>24.838909999999998</v>
      </c>
    </row>
    <row r="370" spans="1:10" x14ac:dyDescent="0.25">
      <c r="A370" t="str">
        <v>2000-09-30</v>
      </c>
      <c r="B370">
        <f t="shared" ca="1" si="20"/>
        <v>100.00418605990784</v>
      </c>
      <c r="C370">
        <f ca="1"/>
        <v>173.6</v>
      </c>
      <c r="D370">
        <f ca="1"/>
        <v>5.8000000000000003E-2</v>
      </c>
      <c r="E370">
        <f t="shared" ca="1" si="21"/>
        <v>4.8333333333333336E-3</v>
      </c>
      <c r="F370">
        <f ca="1"/>
        <v>53.7</v>
      </c>
      <c r="G370">
        <f t="shared" ca="1" si="23"/>
        <v>5.2113491603937856E-3</v>
      </c>
      <c r="H370">
        <f t="shared" ca="1" si="22"/>
        <v>-3.7801582706045202E-4</v>
      </c>
      <c r="I370">
        <f ca="1"/>
        <v>-6.7999999999999996E-3</v>
      </c>
      <c r="J370">
        <f ca="1"/>
        <v>24.535139999999998</v>
      </c>
    </row>
    <row r="371" spans="1:10" x14ac:dyDescent="0.25">
      <c r="A371" t="str">
        <v>2000-10-31</v>
      </c>
      <c r="B371">
        <f t="shared" ca="1" si="20"/>
        <v>97.538828125186882</v>
      </c>
      <c r="C371">
        <f ca="1"/>
        <v>173.9</v>
      </c>
      <c r="D371">
        <f ca="1"/>
        <v>5.74E-2</v>
      </c>
      <c r="E371">
        <f t="shared" ca="1" si="21"/>
        <v>4.783333333333333E-3</v>
      </c>
      <c r="F371">
        <f ca="1"/>
        <v>52.466670000000001</v>
      </c>
      <c r="G371">
        <f t="shared" ca="1" si="23"/>
        <v>1.7281105990785139E-3</v>
      </c>
      <c r="H371">
        <f t="shared" ca="1" si="22"/>
        <v>3.0552227342548191E-3</v>
      </c>
      <c r="I371">
        <f ca="1"/>
        <v>-5.1999999999999998E-3</v>
      </c>
      <c r="J371">
        <f ca="1"/>
        <v>24.45289</v>
      </c>
    </row>
    <row r="372" spans="1:10" x14ac:dyDescent="0.25">
      <c r="A372" t="str">
        <v>2000-11-30</v>
      </c>
      <c r="B372">
        <f t="shared" ca="1" si="20"/>
        <v>95.081943105797947</v>
      </c>
      <c r="C372">
        <f ca="1"/>
        <v>174.2</v>
      </c>
      <c r="D372">
        <f ca="1"/>
        <v>5.7200000000000001E-2</v>
      </c>
      <c r="E372">
        <f t="shared" ca="1" si="21"/>
        <v>4.7666666666666664E-3</v>
      </c>
      <c r="F372">
        <f ca="1"/>
        <v>51.233330000000002</v>
      </c>
      <c r="G372">
        <f t="shared" ca="1" si="23"/>
        <v>1.7251293847038163E-3</v>
      </c>
      <c r="H372">
        <f t="shared" ca="1" si="22"/>
        <v>3.0415372819628502E-3</v>
      </c>
      <c r="I372">
        <f ca="1"/>
        <v>-4.7000000000000002E-3</v>
      </c>
      <c r="J372">
        <f ca="1"/>
        <v>24.39892</v>
      </c>
    </row>
    <row r="373" spans="1:10" x14ac:dyDescent="0.25">
      <c r="A373" t="str">
        <v>2000-12-31</v>
      </c>
      <c r="B373">
        <f t="shared" ca="1" si="20"/>
        <v>92.580469644902635</v>
      </c>
      <c r="C373">
        <f ca="1"/>
        <v>174.6</v>
      </c>
      <c r="D373">
        <f ca="1"/>
        <v>5.2400000000000002E-2</v>
      </c>
      <c r="E373">
        <f t="shared" ca="1" si="21"/>
        <v>4.3666666666666671E-3</v>
      </c>
      <c r="F373">
        <f ca="1"/>
        <v>50</v>
      </c>
      <c r="G373">
        <f t="shared" ca="1" si="23"/>
        <v>2.2962112514350874E-3</v>
      </c>
      <c r="H373">
        <f t="shared" ca="1" si="22"/>
        <v>2.0704554152315797E-3</v>
      </c>
      <c r="I373">
        <f ca="1"/>
        <v>1E-3</v>
      </c>
      <c r="J373">
        <f ca="1"/>
        <v>24.373000000000001</v>
      </c>
    </row>
    <row r="374" spans="1:10" x14ac:dyDescent="0.25">
      <c r="A374" t="str">
        <v>2001-01-31</v>
      </c>
      <c r="B374">
        <f t="shared" ca="1" si="20"/>
        <v>89.254827334851925</v>
      </c>
      <c r="C374">
        <f ca="1"/>
        <v>175.6</v>
      </c>
      <c r="D374">
        <f ca="1"/>
        <v>5.16E-2</v>
      </c>
      <c r="E374">
        <f t="shared" ca="1" si="21"/>
        <v>4.3E-3</v>
      </c>
      <c r="F374">
        <f ca="1"/>
        <v>48.48</v>
      </c>
      <c r="G374">
        <f t="shared" ca="1" si="23"/>
        <v>5.7273768613974596E-3</v>
      </c>
      <c r="H374">
        <f t="shared" ca="1" si="22"/>
        <v>-1.4273768613974596E-3</v>
      </c>
      <c r="I374">
        <f ca="1"/>
        <v>2.0999999999999999E-3</v>
      </c>
      <c r="J374">
        <f ca="1"/>
        <v>24.071020000000001</v>
      </c>
    </row>
    <row r="375" spans="1:10" x14ac:dyDescent="0.25">
      <c r="A375" t="str">
        <v>2001-02-28</v>
      </c>
      <c r="B375">
        <f t="shared" ca="1" si="20"/>
        <v>86.259916818181821</v>
      </c>
      <c r="C375">
        <f ca="1"/>
        <v>176</v>
      </c>
      <c r="D375">
        <f ca="1"/>
        <v>5.0999999999999997E-2</v>
      </c>
      <c r="E375">
        <f t="shared" ca="1" si="21"/>
        <v>4.2499999999999994E-3</v>
      </c>
      <c r="F375">
        <f ca="1"/>
        <v>46.96</v>
      </c>
      <c r="G375">
        <f t="shared" ca="1" si="23"/>
        <v>2.277904328018332E-3</v>
      </c>
      <c r="H375">
        <f t="shared" ca="1" si="22"/>
        <v>1.9720956719816675E-3</v>
      </c>
      <c r="I375">
        <f ca="1"/>
        <v>3.8E-3</v>
      </c>
      <c r="J375">
        <f ca="1"/>
        <v>23.826910000000002</v>
      </c>
    </row>
    <row r="376" spans="1:10" x14ac:dyDescent="0.25">
      <c r="A376" t="str">
        <v>2001-03-31</v>
      </c>
      <c r="B376">
        <f t="shared" ca="1" si="20"/>
        <v>83.420460193072117</v>
      </c>
      <c r="C376">
        <f ca="1"/>
        <v>176.1</v>
      </c>
      <c r="D376">
        <f ca="1"/>
        <v>4.8899999999999999E-2</v>
      </c>
      <c r="E376">
        <f t="shared" ca="1" si="21"/>
        <v>4.0749999999999996E-3</v>
      </c>
      <c r="F376">
        <f ca="1"/>
        <v>45.44</v>
      </c>
      <c r="G376">
        <f t="shared" ca="1" si="23"/>
        <v>5.6818181818174551E-4</v>
      </c>
      <c r="H376">
        <f t="shared" ca="1" si="22"/>
        <v>3.5068181818182541E-3</v>
      </c>
      <c r="I376">
        <f ca="1"/>
        <v>8.9999999999999993E-3</v>
      </c>
      <c r="J376">
        <f ca="1"/>
        <v>23.624880000000001</v>
      </c>
    </row>
    <row r="377" spans="1:10" x14ac:dyDescent="0.25">
      <c r="A377" t="str">
        <v>2001-04-30</v>
      </c>
      <c r="B377">
        <f t="shared" ca="1" si="20"/>
        <v>77.994265311621305</v>
      </c>
      <c r="C377">
        <f ca="1"/>
        <v>176.4</v>
      </c>
      <c r="D377">
        <f ca="1"/>
        <v>5.1400000000000001E-2</v>
      </c>
      <c r="E377">
        <f t="shared" ca="1" si="21"/>
        <v>4.2833333333333334E-3</v>
      </c>
      <c r="F377">
        <f ca="1"/>
        <v>42.556669999999997</v>
      </c>
      <c r="G377">
        <f t="shared" ca="1" si="23"/>
        <v>1.7035775127769437E-3</v>
      </c>
      <c r="H377">
        <f t="shared" ca="1" si="22"/>
        <v>2.5797558205563897E-3</v>
      </c>
      <c r="I377">
        <f ca="1"/>
        <v>6.8999999999999999E-3</v>
      </c>
      <c r="J377">
        <f ca="1"/>
        <v>23.39387</v>
      </c>
    </row>
    <row r="378" spans="1:10" x14ac:dyDescent="0.25">
      <c r="A378" t="str">
        <v>2001-05-31</v>
      </c>
      <c r="B378">
        <f t="shared" ca="1" si="20"/>
        <v>72.340837727185558</v>
      </c>
      <c r="C378">
        <f ca="1"/>
        <v>177.3</v>
      </c>
      <c r="D378">
        <f ca="1"/>
        <v>5.3900000000000003E-2</v>
      </c>
      <c r="E378">
        <f t="shared" ca="1" si="21"/>
        <v>4.4916666666666672E-3</v>
      </c>
      <c r="F378">
        <f ca="1"/>
        <v>39.67333</v>
      </c>
      <c r="G378">
        <f t="shared" ca="1" si="23"/>
        <v>5.1020408163264808E-3</v>
      </c>
      <c r="H378">
        <f t="shared" ca="1" si="22"/>
        <v>-6.1037414965981352E-4</v>
      </c>
      <c r="I378">
        <f ca="1"/>
        <v>2.8999999999999998E-3</v>
      </c>
      <c r="J378">
        <f ca="1"/>
        <v>23.15165</v>
      </c>
    </row>
    <row r="379" spans="1:10" x14ac:dyDescent="0.25">
      <c r="A379" t="str">
        <v>2001-06-30</v>
      </c>
      <c r="B379">
        <f t="shared" ca="1" si="20"/>
        <v>66.932334777715255</v>
      </c>
      <c r="C379">
        <f ca="1"/>
        <v>177.7</v>
      </c>
      <c r="D379">
        <f ca="1"/>
        <v>5.28E-2</v>
      </c>
      <c r="E379">
        <f t="shared" ca="1" si="21"/>
        <v>4.4000000000000003E-3</v>
      </c>
      <c r="F379">
        <f ca="1"/>
        <v>36.79</v>
      </c>
      <c r="G379">
        <f t="shared" ca="1" si="23"/>
        <v>2.2560631697685629E-3</v>
      </c>
      <c r="H379">
        <f t="shared" ca="1" si="22"/>
        <v>2.1439368302314374E-3</v>
      </c>
      <c r="I379">
        <f ca="1"/>
        <v>4.7000000000000002E-3</v>
      </c>
      <c r="J379">
        <f ca="1"/>
        <v>22.975960000000001</v>
      </c>
    </row>
    <row r="380" spans="1:10" x14ac:dyDescent="0.25">
      <c r="A380" t="str">
        <v>2001-07-31</v>
      </c>
      <c r="B380">
        <f t="shared" ca="1" si="20"/>
        <v>61.894244188444191</v>
      </c>
      <c r="C380">
        <f ca="1"/>
        <v>177.4</v>
      </c>
      <c r="D380">
        <f ca="1"/>
        <v>5.2400000000000002E-2</v>
      </c>
      <c r="E380">
        <f t="shared" ca="1" si="21"/>
        <v>4.3666666666666671E-3</v>
      </c>
      <c r="F380">
        <f ca="1"/>
        <v>33.963329999999999</v>
      </c>
      <c r="G380">
        <f t="shared" ca="1" si="23"/>
        <v>-1.6882386043892694E-3</v>
      </c>
      <c r="H380">
        <f t="shared" ca="1" si="22"/>
        <v>6.0549052710559366E-3</v>
      </c>
      <c r="I380">
        <f ca="1"/>
        <v>5.4999999999999997E-3</v>
      </c>
      <c r="J380">
        <f ca="1"/>
        <v>23.065149999999999</v>
      </c>
    </row>
    <row r="381" spans="1:10" x14ac:dyDescent="0.25">
      <c r="A381" t="str">
        <v>2001-08-31</v>
      </c>
      <c r="B381">
        <f t="shared" ca="1" si="20"/>
        <v>56.742982981792551</v>
      </c>
      <c r="C381">
        <f ca="1"/>
        <v>177.4</v>
      </c>
      <c r="D381">
        <f ca="1"/>
        <v>4.9700000000000001E-2</v>
      </c>
      <c r="E381">
        <f t="shared" ca="1" si="21"/>
        <v>4.1416666666666668E-3</v>
      </c>
      <c r="F381">
        <f ca="1"/>
        <v>31.136669999999999</v>
      </c>
      <c r="G381">
        <f t="shared" ca="1" si="23"/>
        <v>0</v>
      </c>
      <c r="H381">
        <f t="shared" ca="1" si="22"/>
        <v>4.1416666666666668E-3</v>
      </c>
      <c r="I381">
        <f ca="1"/>
        <v>8.6999999999999994E-3</v>
      </c>
      <c r="J381">
        <f ca="1"/>
        <v>23.08963</v>
      </c>
    </row>
    <row r="382" spans="1:10" x14ac:dyDescent="0.25">
      <c r="A382" t="str">
        <v>2001-09-30</v>
      </c>
      <c r="B382">
        <f t="shared" ca="1" si="20"/>
        <v>51.388928747894433</v>
      </c>
      <c r="C382">
        <f ca="1"/>
        <v>178.1</v>
      </c>
      <c r="D382">
        <f ca="1"/>
        <v>4.7300000000000002E-2</v>
      </c>
      <c r="E382">
        <f t="shared" ca="1" si="21"/>
        <v>3.9416666666666671E-3</v>
      </c>
      <c r="F382">
        <f ca="1"/>
        <v>28.31</v>
      </c>
      <c r="G382">
        <f t="shared" ca="1" si="23"/>
        <v>3.9458850056368622E-3</v>
      </c>
      <c r="H382">
        <f t="shared" ca="1" si="22"/>
        <v>-4.2183389701950721E-6</v>
      </c>
      <c r="I382">
        <f ca="1"/>
        <v>1.54E-2</v>
      </c>
      <c r="J382">
        <f ca="1"/>
        <v>23.010390000000001</v>
      </c>
    </row>
    <row r="383" spans="1:10" x14ac:dyDescent="0.25">
      <c r="A383" t="str">
        <v>2001-10-31</v>
      </c>
      <c r="B383">
        <f t="shared" ca="1" si="20"/>
        <v>49.337064521565317</v>
      </c>
      <c r="C383">
        <f ca="1"/>
        <v>177.6</v>
      </c>
      <c r="D383">
        <f ca="1"/>
        <v>4.5699999999999998E-2</v>
      </c>
      <c r="E383">
        <f t="shared" ca="1" si="21"/>
        <v>3.8083333333333333E-3</v>
      </c>
      <c r="F383">
        <f ca="1"/>
        <v>27.10333</v>
      </c>
      <c r="G383">
        <f t="shared" ca="1" si="23"/>
        <v>-2.8074115665356336E-3</v>
      </c>
      <c r="H383">
        <f t="shared" ca="1" si="22"/>
        <v>6.6157448998689673E-3</v>
      </c>
      <c r="I383">
        <f ca="1"/>
        <v>1.5299999999999999E-2</v>
      </c>
      <c r="J383">
        <f ca="1"/>
        <v>23.088090000000001</v>
      </c>
    </row>
    <row r="384" spans="1:10" x14ac:dyDescent="0.25">
      <c r="A384" t="str">
        <v>2001-11-30</v>
      </c>
      <c r="B384">
        <f t="shared" ca="1" si="20"/>
        <v>47.167100512507041</v>
      </c>
      <c r="C384">
        <f ca="1"/>
        <v>177.5</v>
      </c>
      <c r="D384">
        <f ca="1"/>
        <v>4.65E-2</v>
      </c>
      <c r="E384">
        <f t="shared" ca="1" si="21"/>
        <v>3.875E-3</v>
      </c>
      <c r="F384">
        <f ca="1"/>
        <v>25.89667</v>
      </c>
      <c r="G384">
        <f t="shared" ca="1" si="23"/>
        <v>-5.6306306306308507E-4</v>
      </c>
      <c r="H384">
        <f t="shared" ca="1" si="22"/>
        <v>4.438063063063085E-3</v>
      </c>
      <c r="I384">
        <f ca="1"/>
        <v>1.24E-2</v>
      </c>
      <c r="J384">
        <f ca="1"/>
        <v>23.127130000000001</v>
      </c>
    </row>
    <row r="385" spans="1:10" x14ac:dyDescent="0.25">
      <c r="A385" t="str">
        <v>2001-12-31</v>
      </c>
      <c r="B385">
        <f t="shared" ca="1" si="20"/>
        <v>44.994671871476889</v>
      </c>
      <c r="C385">
        <f ca="1"/>
        <v>177.4</v>
      </c>
      <c r="D385">
        <f ca="1"/>
        <v>5.0900000000000001E-2</v>
      </c>
      <c r="E385">
        <f t="shared" ca="1" si="21"/>
        <v>4.241666666666667E-3</v>
      </c>
      <c r="F385">
        <f ca="1"/>
        <v>24.69</v>
      </c>
      <c r="G385">
        <f t="shared" ca="1" si="23"/>
        <v>-5.6338028169011789E-4</v>
      </c>
      <c r="H385">
        <f t="shared" ca="1" si="22"/>
        <v>4.8050469483567849E-3</v>
      </c>
      <c r="I385">
        <f ca="1"/>
        <v>7.0000000000000001E-3</v>
      </c>
      <c r="J385">
        <f ca="1"/>
        <v>23.21875</v>
      </c>
    </row>
    <row r="386" spans="1:10" x14ac:dyDescent="0.25">
      <c r="A386" t="str">
        <v>2002-01-31</v>
      </c>
      <c r="B386">
        <f t="shared" ref="B386:B449" ca="1" si="24">F386*$C$669/C386</f>
        <v>44.92476842447946</v>
      </c>
      <c r="C386">
        <f ca="1"/>
        <v>177.7</v>
      </c>
      <c r="D386">
        <f ca="1"/>
        <v>5.04E-2</v>
      </c>
      <c r="E386">
        <f t="shared" ca="1" si="21"/>
        <v>4.1999999999999997E-3</v>
      </c>
      <c r="F386">
        <f ca="1"/>
        <v>24.69333</v>
      </c>
      <c r="G386">
        <f t="shared" ca="1" si="23"/>
        <v>1.6910935738443378E-3</v>
      </c>
      <c r="H386">
        <f t="shared" ca="1" si="22"/>
        <v>2.508906426155662E-3</v>
      </c>
      <c r="I386">
        <f ca="1"/>
        <v>7.7999999999999996E-3</v>
      </c>
      <c r="J386">
        <f ca="1"/>
        <v>23.1614</v>
      </c>
    </row>
    <row r="387" spans="1:10" x14ac:dyDescent="0.25">
      <c r="A387" t="str">
        <v>2002-02-28</v>
      </c>
      <c r="B387">
        <f t="shared" ca="1" si="24"/>
        <v>44.855118769494382</v>
      </c>
      <c r="C387">
        <f ca="1"/>
        <v>178</v>
      </c>
      <c r="D387">
        <f ca="1"/>
        <v>4.9099999999999998E-2</v>
      </c>
      <c r="E387">
        <f t="shared" ref="E387:E450" ca="1" si="25">D387/12</f>
        <v>4.0916666666666662E-3</v>
      </c>
      <c r="F387">
        <f ca="1"/>
        <v>24.696670000000001</v>
      </c>
      <c r="G387">
        <f t="shared" ca="1" si="23"/>
        <v>1.6882386043894915E-3</v>
      </c>
      <c r="H387">
        <f t="shared" ref="H387:H450" ca="1" si="26">E387-G387</f>
        <v>2.4034280622771747E-3</v>
      </c>
      <c r="I387">
        <f ca="1"/>
        <v>1.0500000000000001E-2</v>
      </c>
      <c r="J387">
        <f ca="1"/>
        <v>23.065329999999999</v>
      </c>
    </row>
    <row r="388" spans="1:10" x14ac:dyDescent="0.25">
      <c r="A388" t="str">
        <v>2002-03-31</v>
      </c>
      <c r="B388">
        <f t="shared" ca="1" si="24"/>
        <v>44.735505322128851</v>
      </c>
      <c r="C388">
        <f ca="1"/>
        <v>178.5</v>
      </c>
      <c r="D388">
        <f ca="1"/>
        <v>5.28E-2</v>
      </c>
      <c r="E388">
        <f t="shared" ca="1" si="25"/>
        <v>4.4000000000000003E-3</v>
      </c>
      <c r="F388">
        <f ca="1"/>
        <v>24.7</v>
      </c>
      <c r="G388">
        <f t="shared" ref="G388:G451" ca="1" si="27">C388/C387-1</f>
        <v>2.8089887640450062E-3</v>
      </c>
      <c r="H388">
        <f t="shared" ca="1" si="26"/>
        <v>1.5910112359549941E-3</v>
      </c>
      <c r="I388">
        <f ca="1"/>
        <v>5.4999999999999997E-3</v>
      </c>
      <c r="J388">
        <f ca="1"/>
        <v>22.931470000000001</v>
      </c>
    </row>
    <row r="389" spans="1:10" x14ac:dyDescent="0.25">
      <c r="A389" t="str">
        <v>2002-04-30</v>
      </c>
      <c r="B389">
        <f t="shared" ca="1" si="24"/>
        <v>45.761994311210259</v>
      </c>
      <c r="C389">
        <f ca="1"/>
        <v>179.3</v>
      </c>
      <c r="D389">
        <f ca="1"/>
        <v>5.21E-2</v>
      </c>
      <c r="E389">
        <f t="shared" ca="1" si="25"/>
        <v>4.3416666666666664E-3</v>
      </c>
      <c r="F389">
        <f ca="1"/>
        <v>25.38</v>
      </c>
      <c r="G389">
        <f t="shared" ca="1" si="27"/>
        <v>4.4817927170868188E-3</v>
      </c>
      <c r="H389">
        <f t="shared" ca="1" si="26"/>
        <v>-1.4012605042015239E-4</v>
      </c>
      <c r="I389">
        <f ca="1"/>
        <v>8.0999999999999996E-3</v>
      </c>
      <c r="J389">
        <f ca="1"/>
        <v>22.95373</v>
      </c>
    </row>
    <row r="390" spans="1:10" x14ac:dyDescent="0.25">
      <c r="A390" t="str">
        <v>2002-05-31</v>
      </c>
      <c r="B390">
        <f t="shared" ca="1" si="24"/>
        <v>46.935729582172698</v>
      </c>
      <c r="C390">
        <f ca="1"/>
        <v>179.5</v>
      </c>
      <c r="D390">
        <f ca="1"/>
        <v>5.16E-2</v>
      </c>
      <c r="E390">
        <f t="shared" ca="1" si="25"/>
        <v>4.3E-3</v>
      </c>
      <c r="F390">
        <f ca="1"/>
        <v>26.06</v>
      </c>
      <c r="G390">
        <f t="shared" ca="1" si="27"/>
        <v>1.115448968209698E-3</v>
      </c>
      <c r="H390">
        <f t="shared" ca="1" si="26"/>
        <v>3.184551031790302E-3</v>
      </c>
      <c r="I390">
        <f ca="1"/>
        <v>9.4999999999999998E-3</v>
      </c>
      <c r="J390">
        <f ca="1"/>
        <v>23.103539999999999</v>
      </c>
    </row>
    <row r="391" spans="1:10" x14ac:dyDescent="0.25">
      <c r="A391" t="str">
        <v>2002-06-30</v>
      </c>
      <c r="B391">
        <f t="shared" ca="1" si="24"/>
        <v>48.133637750556794</v>
      </c>
      <c r="C391">
        <f ca="1"/>
        <v>179.6</v>
      </c>
      <c r="D391">
        <f ca="1"/>
        <v>4.9299999999999997E-2</v>
      </c>
      <c r="E391">
        <f t="shared" ca="1" si="25"/>
        <v>4.1083333333333328E-3</v>
      </c>
      <c r="F391">
        <f ca="1"/>
        <v>26.74</v>
      </c>
      <c r="G391">
        <f t="shared" ca="1" si="27"/>
        <v>5.5710306406675514E-4</v>
      </c>
      <c r="H391">
        <f t="shared" ca="1" si="26"/>
        <v>3.5512302692665776E-3</v>
      </c>
      <c r="I391">
        <f ca="1"/>
        <v>1.38E-2</v>
      </c>
      <c r="J391">
        <f ca="1"/>
        <v>23.240410000000001</v>
      </c>
    </row>
    <row r="392" spans="1:10" x14ac:dyDescent="0.25">
      <c r="A392" t="str">
        <v>2002-07-31</v>
      </c>
      <c r="B392">
        <f t="shared" ca="1" si="24"/>
        <v>50.002341333333334</v>
      </c>
      <c r="C392">
        <f ca="1"/>
        <v>180</v>
      </c>
      <c r="D392">
        <f ca="1"/>
        <v>4.65E-2</v>
      </c>
      <c r="E392">
        <f t="shared" ca="1" si="25"/>
        <v>3.875E-3</v>
      </c>
      <c r="F392">
        <f ca="1"/>
        <v>27.84</v>
      </c>
      <c r="G392">
        <f t="shared" ca="1" si="27"/>
        <v>2.2271714922048602E-3</v>
      </c>
      <c r="H392">
        <f t="shared" ca="1" si="26"/>
        <v>1.6478285077951398E-3</v>
      </c>
      <c r="I392">
        <f ca="1"/>
        <v>2.1299999999999999E-2</v>
      </c>
      <c r="J392">
        <f ca="1"/>
        <v>23.09882</v>
      </c>
    </row>
    <row r="393" spans="1:10" x14ac:dyDescent="0.25">
      <c r="A393" t="str">
        <v>2002-08-31</v>
      </c>
      <c r="B393">
        <f t="shared" ca="1" si="24"/>
        <v>51.83402515235457</v>
      </c>
      <c r="C393">
        <f ca="1"/>
        <v>180.5</v>
      </c>
      <c r="D393">
        <f ca="1"/>
        <v>4.2599999999999999E-2</v>
      </c>
      <c r="E393">
        <f t="shared" ca="1" si="25"/>
        <v>3.5499999999999998E-3</v>
      </c>
      <c r="F393">
        <f ca="1"/>
        <v>28.94</v>
      </c>
      <c r="G393">
        <f t="shared" ca="1" si="27"/>
        <v>2.7777777777777679E-3</v>
      </c>
      <c r="H393">
        <f t="shared" ca="1" si="26"/>
        <v>7.7222222222223186E-4</v>
      </c>
      <c r="I393">
        <f ca="1"/>
        <v>2.5000000000000001E-2</v>
      </c>
      <c r="J393">
        <f ca="1"/>
        <v>22.90672</v>
      </c>
    </row>
    <row r="394" spans="1:10" x14ac:dyDescent="0.25">
      <c r="A394" t="str">
        <v>2002-09-30</v>
      </c>
      <c r="B394">
        <f t="shared" ca="1" si="24"/>
        <v>53.714942699115042</v>
      </c>
      <c r="C394">
        <f ca="1"/>
        <v>180.8</v>
      </c>
      <c r="D394">
        <f ca="1"/>
        <v>3.8699999999999998E-2</v>
      </c>
      <c r="E394">
        <f t="shared" ca="1" si="25"/>
        <v>3.225E-3</v>
      </c>
      <c r="F394">
        <f ca="1"/>
        <v>30.04</v>
      </c>
      <c r="G394">
        <f t="shared" ca="1" si="27"/>
        <v>1.6620498614958734E-3</v>
      </c>
      <c r="H394">
        <f t="shared" ca="1" si="26"/>
        <v>1.5629501385041266E-3</v>
      </c>
      <c r="I394">
        <f ca="1"/>
        <v>3.1099999999999999E-2</v>
      </c>
      <c r="J394">
        <f ca="1"/>
        <v>22.753550000000001</v>
      </c>
    </row>
    <row r="395" spans="1:10" x14ac:dyDescent="0.25">
      <c r="A395" t="str">
        <v>2002-10-31</v>
      </c>
      <c r="B395">
        <f t="shared" ca="1" si="24"/>
        <v>52.139291274999998</v>
      </c>
      <c r="C395">
        <f ca="1"/>
        <v>181.2</v>
      </c>
      <c r="D395">
        <f ca="1"/>
        <v>3.9399999999999998E-2</v>
      </c>
      <c r="E395">
        <f t="shared" ca="1" si="25"/>
        <v>3.283333333333333E-3</v>
      </c>
      <c r="F395">
        <f ca="1"/>
        <v>29.223330000000001</v>
      </c>
      <c r="G395">
        <f t="shared" ca="1" si="27"/>
        <v>2.2123893805308104E-3</v>
      </c>
      <c r="H395">
        <f t="shared" ca="1" si="26"/>
        <v>1.0709439528025226E-3</v>
      </c>
      <c r="I395">
        <f ca="1"/>
        <v>3.1E-2</v>
      </c>
      <c r="J395">
        <f ca="1"/>
        <v>22.845289999999999</v>
      </c>
    </row>
    <row r="396" spans="1:10" x14ac:dyDescent="0.25">
      <c r="A396" t="str">
        <v>2002-11-30</v>
      </c>
      <c r="B396">
        <f t="shared" ca="1" si="24"/>
        <v>50.598461437851242</v>
      </c>
      <c r="C396">
        <f ca="1"/>
        <v>181.5</v>
      </c>
      <c r="D396">
        <f ca="1"/>
        <v>4.0500000000000001E-2</v>
      </c>
      <c r="E396">
        <f t="shared" ca="1" si="25"/>
        <v>3.375E-3</v>
      </c>
      <c r="F396">
        <f ca="1"/>
        <v>28.406669999999998</v>
      </c>
      <c r="G396">
        <f t="shared" ca="1" si="27"/>
        <v>1.6556291390728006E-3</v>
      </c>
      <c r="H396">
        <f t="shared" ca="1" si="26"/>
        <v>1.7193708609271993E-3</v>
      </c>
      <c r="I396">
        <f ca="1"/>
        <v>2.7099999999999999E-2</v>
      </c>
      <c r="J396">
        <f ca="1"/>
        <v>22.974689999999999</v>
      </c>
    </row>
    <row r="397" spans="1:10" x14ac:dyDescent="0.25">
      <c r="A397" t="str">
        <v>2002-12-31</v>
      </c>
      <c r="B397">
        <f t="shared" ca="1" si="24"/>
        <v>49.062699064906489</v>
      </c>
      <c r="C397">
        <f ca="1"/>
        <v>181.8</v>
      </c>
      <c r="D397">
        <f ca="1"/>
        <v>4.0300000000000002E-2</v>
      </c>
      <c r="E397">
        <f t="shared" ca="1" si="25"/>
        <v>3.3583333333333334E-3</v>
      </c>
      <c r="F397">
        <f ca="1"/>
        <v>27.59</v>
      </c>
      <c r="G397">
        <f t="shared" ca="1" si="27"/>
        <v>1.6528925619836432E-3</v>
      </c>
      <c r="H397">
        <f t="shared" ca="1" si="26"/>
        <v>1.7054407713496902E-3</v>
      </c>
      <c r="I397">
        <f ca="1"/>
        <v>2.76E-2</v>
      </c>
      <c r="J397">
        <f ca="1"/>
        <v>23.155169999999998</v>
      </c>
    </row>
    <row r="398" spans="1:10" x14ac:dyDescent="0.25">
      <c r="A398" t="str">
        <v>2003-01-31</v>
      </c>
      <c r="B398">
        <f t="shared" ca="1" si="24"/>
        <v>50.458891018619937</v>
      </c>
      <c r="C398">
        <f ca="1"/>
        <v>182.6</v>
      </c>
      <c r="D398">
        <f ca="1"/>
        <v>4.0500000000000001E-2</v>
      </c>
      <c r="E398">
        <f t="shared" ca="1" si="25"/>
        <v>3.375E-3</v>
      </c>
      <c r="F398">
        <f ca="1"/>
        <v>28.5</v>
      </c>
      <c r="G398">
        <f t="shared" ca="1" si="27"/>
        <v>4.4004400440043057E-3</v>
      </c>
      <c r="H398">
        <f t="shared" ca="1" si="26"/>
        <v>-1.0254400440043057E-3</v>
      </c>
      <c r="I398">
        <f ca="1"/>
        <v>2.7699999999999999E-2</v>
      </c>
      <c r="J398">
        <f ca="1"/>
        <v>23.124949999999998</v>
      </c>
    </row>
    <row r="399" spans="1:10" x14ac:dyDescent="0.25">
      <c r="A399" t="str">
        <v>2003-02-28</v>
      </c>
      <c r="B399">
        <f t="shared" ca="1" si="24"/>
        <v>51.786428703703706</v>
      </c>
      <c r="C399">
        <f ca="1"/>
        <v>183.6</v>
      </c>
      <c r="D399">
        <f ca="1"/>
        <v>3.9E-2</v>
      </c>
      <c r="E399">
        <f t="shared" ca="1" si="25"/>
        <v>3.2499999999999999E-3</v>
      </c>
      <c r="F399">
        <f ca="1"/>
        <v>29.41</v>
      </c>
      <c r="G399">
        <f t="shared" ca="1" si="27"/>
        <v>5.4764512595837367E-3</v>
      </c>
      <c r="H399">
        <f t="shared" ca="1" si="26"/>
        <v>-2.2264512595837368E-3</v>
      </c>
      <c r="I399">
        <f ca="1"/>
        <v>3.3099999999999997E-2</v>
      </c>
      <c r="J399">
        <f ca="1"/>
        <v>23.019310000000001</v>
      </c>
    </row>
    <row r="400" spans="1:10" x14ac:dyDescent="0.25">
      <c r="A400" t="str">
        <v>2003-03-31</v>
      </c>
      <c r="B400">
        <f t="shared" ca="1" si="24"/>
        <v>53.301702664491572</v>
      </c>
      <c r="C400">
        <f ca="1"/>
        <v>183.9</v>
      </c>
      <c r="D400">
        <f ca="1"/>
        <v>3.8100000000000002E-2</v>
      </c>
      <c r="E400">
        <f t="shared" ca="1" si="25"/>
        <v>3.1750000000000003E-3</v>
      </c>
      <c r="F400">
        <f ca="1"/>
        <v>30.32</v>
      </c>
      <c r="G400">
        <f t="shared" ca="1" si="27"/>
        <v>1.6339869281045694E-3</v>
      </c>
      <c r="H400">
        <f t="shared" ca="1" si="26"/>
        <v>1.5410130718954309E-3</v>
      </c>
      <c r="I400">
        <f ca="1"/>
        <v>3.4000000000000002E-2</v>
      </c>
      <c r="J400">
        <f ca="1"/>
        <v>22.9526</v>
      </c>
    </row>
    <row r="401" spans="1:10" x14ac:dyDescent="0.25">
      <c r="A401" t="str">
        <v>2003-04-30</v>
      </c>
      <c r="B401">
        <f t="shared" ca="1" si="24"/>
        <v>55.993577674672487</v>
      </c>
      <c r="C401">
        <f ca="1"/>
        <v>183.2</v>
      </c>
      <c r="D401">
        <f ca="1"/>
        <v>3.9600000000000003E-2</v>
      </c>
      <c r="E401">
        <f t="shared" ca="1" si="25"/>
        <v>3.3000000000000004E-3</v>
      </c>
      <c r="F401">
        <f ca="1"/>
        <v>31.73</v>
      </c>
      <c r="G401">
        <f t="shared" ca="1" si="27"/>
        <v>-3.8064165307233333E-3</v>
      </c>
      <c r="H401">
        <f t="shared" ca="1" si="26"/>
        <v>7.1064165307233342E-3</v>
      </c>
      <c r="I401">
        <f ca="1"/>
        <v>2.9700000000000001E-2</v>
      </c>
      <c r="J401">
        <f ca="1"/>
        <v>22.978909999999999</v>
      </c>
    </row>
    <row r="402" spans="1:10" x14ac:dyDescent="0.25">
      <c r="A402" t="str">
        <v>2003-05-31</v>
      </c>
      <c r="B402">
        <f t="shared" ca="1" si="24"/>
        <v>58.577713176599239</v>
      </c>
      <c r="C402">
        <f ca="1"/>
        <v>182.9</v>
      </c>
      <c r="D402">
        <f ca="1"/>
        <v>3.5700000000000003E-2</v>
      </c>
      <c r="E402">
        <f t="shared" ca="1" si="25"/>
        <v>2.9750000000000002E-3</v>
      </c>
      <c r="F402">
        <f ca="1"/>
        <v>33.14</v>
      </c>
      <c r="G402">
        <f t="shared" ca="1" si="27"/>
        <v>-1.6375545851528006E-3</v>
      </c>
      <c r="H402">
        <f t="shared" ca="1" si="26"/>
        <v>4.6125545851528008E-3</v>
      </c>
      <c r="I402">
        <f ca="1"/>
        <v>3.1099999999999999E-2</v>
      </c>
      <c r="J402">
        <f ca="1"/>
        <v>22.992809999999999</v>
      </c>
    </row>
    <row r="403" spans="1:10" x14ac:dyDescent="0.25">
      <c r="A403" t="str">
        <v>2003-06-30</v>
      </c>
      <c r="B403">
        <f t="shared" ca="1" si="24"/>
        <v>61.003299016930633</v>
      </c>
      <c r="C403">
        <f ca="1"/>
        <v>183.1</v>
      </c>
      <c r="D403">
        <f ca="1"/>
        <v>3.3300000000000003E-2</v>
      </c>
      <c r="E403">
        <f t="shared" ca="1" si="25"/>
        <v>2.7750000000000001E-3</v>
      </c>
      <c r="F403">
        <f ca="1"/>
        <v>34.549999999999997</v>
      </c>
      <c r="G403">
        <f t="shared" ca="1" si="27"/>
        <v>1.0934937124111865E-3</v>
      </c>
      <c r="H403">
        <f t="shared" ca="1" si="26"/>
        <v>1.6815062875888136E-3</v>
      </c>
      <c r="I403">
        <f ca="1"/>
        <v>3.1300000000000001E-2</v>
      </c>
      <c r="J403">
        <f ca="1"/>
        <v>22.944130000000001</v>
      </c>
    </row>
    <row r="404" spans="1:10" x14ac:dyDescent="0.25">
      <c r="A404" t="str">
        <v>2003-07-31</v>
      </c>
      <c r="B404">
        <f t="shared" ca="1" si="24"/>
        <v>63.168157588622755</v>
      </c>
      <c r="C404">
        <f ca="1"/>
        <v>183.7</v>
      </c>
      <c r="D404">
        <f ca="1"/>
        <v>3.9800000000000002E-2</v>
      </c>
      <c r="E404">
        <f t="shared" ca="1" si="25"/>
        <v>3.316666666666667E-3</v>
      </c>
      <c r="F404">
        <f ca="1"/>
        <v>35.893329999999999</v>
      </c>
      <c r="G404">
        <f t="shared" ca="1" si="27"/>
        <v>3.2768978700163931E-3</v>
      </c>
      <c r="H404">
        <f t="shared" ca="1" si="26"/>
        <v>3.9768796650273882E-5</v>
      </c>
      <c r="I404">
        <f ca="1"/>
        <v>2.4899999999999999E-2</v>
      </c>
      <c r="J404">
        <f ca="1"/>
        <v>23.117609999999999</v>
      </c>
    </row>
    <row r="405" spans="1:10" x14ac:dyDescent="0.25">
      <c r="A405" t="str">
        <v>2003-08-31</v>
      </c>
      <c r="B405">
        <f t="shared" ca="1" si="24"/>
        <v>65.248131604173437</v>
      </c>
      <c r="C405">
        <f ca="1"/>
        <v>184.5</v>
      </c>
      <c r="D405">
        <f ca="1"/>
        <v>4.4499999999999998E-2</v>
      </c>
      <c r="E405">
        <f t="shared" ca="1" si="25"/>
        <v>3.708333333333333E-3</v>
      </c>
      <c r="F405">
        <f ca="1"/>
        <v>37.236669999999997</v>
      </c>
      <c r="G405">
        <f t="shared" ca="1" si="27"/>
        <v>4.354926510615087E-3</v>
      </c>
      <c r="H405">
        <f t="shared" ca="1" si="26"/>
        <v>-6.4659317728175394E-4</v>
      </c>
      <c r="I405">
        <f ca="1"/>
        <v>2.07E-2</v>
      </c>
      <c r="J405">
        <f ca="1"/>
        <v>23.227630000000001</v>
      </c>
    </row>
    <row r="406" spans="1:10" x14ac:dyDescent="0.25">
      <c r="A406" t="str">
        <v>2003-09-30</v>
      </c>
      <c r="B406">
        <f t="shared" ca="1" si="24"/>
        <v>67.382856726094005</v>
      </c>
      <c r="C406">
        <f ca="1"/>
        <v>185.1</v>
      </c>
      <c r="D406">
        <f ca="1"/>
        <v>4.2700000000000002E-2</v>
      </c>
      <c r="E406">
        <f t="shared" ca="1" si="25"/>
        <v>3.5583333333333335E-3</v>
      </c>
      <c r="F406">
        <f ca="1"/>
        <v>38.58</v>
      </c>
      <c r="G406">
        <f t="shared" ca="1" si="27"/>
        <v>3.2520325203251321E-3</v>
      </c>
      <c r="H406">
        <f t="shared" ca="1" si="26"/>
        <v>3.0630081300820136E-4</v>
      </c>
      <c r="I406">
        <f ca="1"/>
        <v>2.1600000000000001E-2</v>
      </c>
      <c r="J406">
        <f ca="1"/>
        <v>23.349419999999999</v>
      </c>
    </row>
    <row r="407" spans="1:10" x14ac:dyDescent="0.25">
      <c r="A407" t="str">
        <v>2003-10-31</v>
      </c>
      <c r="B407">
        <f t="shared" ca="1" si="24"/>
        <v>73.377213147485122</v>
      </c>
      <c r="C407">
        <f ca="1"/>
        <v>184.9</v>
      </c>
      <c r="D407">
        <f ca="1"/>
        <v>4.2900000000000001E-2</v>
      </c>
      <c r="E407">
        <f t="shared" ca="1" si="25"/>
        <v>3.5750000000000001E-3</v>
      </c>
      <c r="F407">
        <f ca="1"/>
        <v>41.966670000000001</v>
      </c>
      <c r="G407">
        <f t="shared" ca="1" si="27"/>
        <v>-1.0804970286331095E-3</v>
      </c>
      <c r="H407">
        <f t="shared" ca="1" si="26"/>
        <v>4.6554970286331095E-3</v>
      </c>
      <c r="I407">
        <f ca="1"/>
        <v>2.0199999999999999E-2</v>
      </c>
      <c r="J407">
        <f ca="1"/>
        <v>23.75038</v>
      </c>
    </row>
    <row r="408" spans="1:10" x14ac:dyDescent="0.25">
      <c r="A408" t="str">
        <v>2003-11-30</v>
      </c>
      <c r="B408">
        <f t="shared" ca="1" si="24"/>
        <v>79.255802210972973</v>
      </c>
      <c r="C408">
        <f ca="1"/>
        <v>185</v>
      </c>
      <c r="D408">
        <f ca="1"/>
        <v>4.2999999999999997E-2</v>
      </c>
      <c r="E408">
        <f t="shared" ca="1" si="25"/>
        <v>3.5833333333333329E-3</v>
      </c>
      <c r="F408">
        <f ca="1"/>
        <v>45.35333</v>
      </c>
      <c r="G408">
        <f t="shared" ca="1" si="27"/>
        <v>5.4083288263928608E-4</v>
      </c>
      <c r="H408">
        <f t="shared" ca="1" si="26"/>
        <v>3.0425004506940468E-3</v>
      </c>
      <c r="I408">
        <f ca="1"/>
        <v>1.9400000000000001E-2</v>
      </c>
      <c r="J408">
        <f ca="1"/>
        <v>24.191490000000002</v>
      </c>
    </row>
    <row r="409" spans="1:10" x14ac:dyDescent="0.25">
      <c r="A409" t="str">
        <v>2003-12-31</v>
      </c>
      <c r="B409">
        <f t="shared" ca="1" si="24"/>
        <v>84.944492398921838</v>
      </c>
      <c r="C409">
        <f ca="1"/>
        <v>185.5</v>
      </c>
      <c r="D409">
        <f ca="1"/>
        <v>4.2700000000000002E-2</v>
      </c>
      <c r="E409">
        <f t="shared" ca="1" si="25"/>
        <v>3.5583333333333335E-3</v>
      </c>
      <c r="F409">
        <f ca="1"/>
        <v>48.74</v>
      </c>
      <c r="G409">
        <f t="shared" ca="1" si="27"/>
        <v>2.7027027027026751E-3</v>
      </c>
      <c r="H409">
        <f t="shared" ca="1" si="26"/>
        <v>8.5563063063065839E-4</v>
      </c>
      <c r="I409">
        <f ca="1"/>
        <v>1.8599999999999998E-2</v>
      </c>
      <c r="J409">
        <f ca="1"/>
        <v>24.594889999999999</v>
      </c>
    </row>
    <row r="410" spans="1:10" x14ac:dyDescent="0.25">
      <c r="A410" t="str">
        <v>2004-01-31</v>
      </c>
      <c r="B410">
        <f t="shared" ca="1" si="24"/>
        <v>86.465453413687598</v>
      </c>
      <c r="C410">
        <f ca="1"/>
        <v>186.3</v>
      </c>
      <c r="D410">
        <f ca="1"/>
        <v>4.1500000000000002E-2</v>
      </c>
      <c r="E410">
        <f t="shared" ca="1" si="25"/>
        <v>3.4583333333333337E-3</v>
      </c>
      <c r="F410">
        <f ca="1"/>
        <v>49.82667</v>
      </c>
      <c r="G410">
        <f t="shared" ca="1" si="27"/>
        <v>4.3126684636118906E-3</v>
      </c>
      <c r="H410">
        <f t="shared" ca="1" si="26"/>
        <v>-8.5433513027855694E-4</v>
      </c>
      <c r="I410">
        <f ca="1"/>
        <v>1.8599999999999998E-2</v>
      </c>
      <c r="J410">
        <f ca="1"/>
        <v>24.77093</v>
      </c>
    </row>
    <row r="411" spans="1:10" x14ac:dyDescent="0.25">
      <c r="A411" t="str">
        <v>2004-02-29</v>
      </c>
      <c r="B411">
        <f t="shared" ca="1" si="24"/>
        <v>88.161871285645432</v>
      </c>
      <c r="C411">
        <f ca="1"/>
        <v>186.7</v>
      </c>
      <c r="D411">
        <f ca="1"/>
        <v>4.0800000000000003E-2</v>
      </c>
      <c r="E411">
        <f t="shared" ca="1" si="25"/>
        <v>3.4000000000000002E-3</v>
      </c>
      <c r="F411">
        <f ca="1"/>
        <v>50.913330000000002</v>
      </c>
      <c r="G411">
        <f t="shared" ca="1" si="27"/>
        <v>2.1470746108425143E-3</v>
      </c>
      <c r="H411">
        <f t="shared" ca="1" si="26"/>
        <v>1.252925389157486E-3</v>
      </c>
      <c r="I411">
        <f ca="1"/>
        <v>1.95E-2</v>
      </c>
      <c r="J411">
        <f ca="1"/>
        <v>24.93187</v>
      </c>
    </row>
    <row r="412" spans="1:10" x14ac:dyDescent="0.25">
      <c r="A412" t="str">
        <v>2004-03-31</v>
      </c>
      <c r="B412">
        <f t="shared" ca="1" si="24"/>
        <v>89.851052912880817</v>
      </c>
      <c r="C412">
        <f ca="1"/>
        <v>187.1</v>
      </c>
      <c r="D412">
        <f ca="1"/>
        <v>3.8300000000000001E-2</v>
      </c>
      <c r="E412">
        <f t="shared" ca="1" si="25"/>
        <v>3.1916666666666669E-3</v>
      </c>
      <c r="F412">
        <f ca="1"/>
        <v>52</v>
      </c>
      <c r="G412">
        <f t="shared" ca="1" si="27"/>
        <v>2.1424745581146709E-3</v>
      </c>
      <c r="H412">
        <f t="shared" ca="1" si="26"/>
        <v>1.049192108551996E-3</v>
      </c>
      <c r="I412">
        <f ca="1"/>
        <v>2.3300000000000001E-2</v>
      </c>
      <c r="J412">
        <f ca="1"/>
        <v>25.064319999999999</v>
      </c>
    </row>
    <row r="413" spans="1:10" x14ac:dyDescent="0.25">
      <c r="A413" t="str">
        <v>2004-04-30</v>
      </c>
      <c r="B413">
        <f t="shared" ca="1" si="24"/>
        <v>92.093650688527219</v>
      </c>
      <c r="C413">
        <f ca="1"/>
        <v>187.4</v>
      </c>
      <c r="D413">
        <f ca="1"/>
        <v>4.3499999999999997E-2</v>
      </c>
      <c r="E413">
        <f t="shared" ca="1" si="25"/>
        <v>3.6249999999999998E-3</v>
      </c>
      <c r="F413">
        <f ca="1"/>
        <v>53.383330000000001</v>
      </c>
      <c r="G413">
        <f t="shared" ca="1" si="27"/>
        <v>1.6034206306787535E-3</v>
      </c>
      <c r="H413">
        <f t="shared" ca="1" si="26"/>
        <v>2.0215793693212462E-3</v>
      </c>
      <c r="I413">
        <f ca="1"/>
        <v>1.83E-2</v>
      </c>
      <c r="J413">
        <f ca="1"/>
        <v>25.252369999999999</v>
      </c>
    </row>
    <row r="414" spans="1:10" x14ac:dyDescent="0.25">
      <c r="A414" t="str">
        <v>2004-05-31</v>
      </c>
      <c r="B414">
        <f t="shared" ca="1" si="24"/>
        <v>94.078488368597235</v>
      </c>
      <c r="C414">
        <f ca="1"/>
        <v>188.2</v>
      </c>
      <c r="D414">
        <f ca="1"/>
        <v>4.7199999999999999E-2</v>
      </c>
      <c r="E414">
        <f t="shared" ca="1" si="25"/>
        <v>3.933333333333333E-3</v>
      </c>
      <c r="F414">
        <f ca="1"/>
        <v>54.766669999999998</v>
      </c>
      <c r="G414">
        <f t="shared" ca="1" si="27"/>
        <v>4.2689434364993062E-3</v>
      </c>
      <c r="H414">
        <f t="shared" ca="1" si="26"/>
        <v>-3.3561010316597324E-4</v>
      </c>
      <c r="I414">
        <f ca="1"/>
        <v>1.66E-2</v>
      </c>
      <c r="J414">
        <f ca="1"/>
        <v>25.371970000000001</v>
      </c>
    </row>
    <row r="415" spans="1:10" x14ac:dyDescent="0.25">
      <c r="A415" t="str">
        <v>2004-06-30</v>
      </c>
      <c r="B415">
        <f t="shared" ca="1" si="24"/>
        <v>96.097351244044461</v>
      </c>
      <c r="C415">
        <f ca="1"/>
        <v>188.9</v>
      </c>
      <c r="D415">
        <f ca="1"/>
        <v>4.7300000000000002E-2</v>
      </c>
      <c r="E415">
        <f t="shared" ca="1" si="25"/>
        <v>3.9416666666666671E-3</v>
      </c>
      <c r="F415">
        <f ca="1"/>
        <v>56.15</v>
      </c>
      <c r="G415">
        <f t="shared" ca="1" si="27"/>
        <v>3.7194473963868546E-3</v>
      </c>
      <c r="H415">
        <f t="shared" ca="1" si="26"/>
        <v>2.2221927027981248E-4</v>
      </c>
      <c r="I415">
        <f ca="1"/>
        <v>1.5699999999999999E-2</v>
      </c>
      <c r="J415">
        <f ca="1"/>
        <v>25.557379999999998</v>
      </c>
    </row>
    <row r="416" spans="1:10" x14ac:dyDescent="0.25">
      <c r="A416" t="str">
        <v>2004-07-31</v>
      </c>
      <c r="B416">
        <f t="shared" ca="1" si="24"/>
        <v>96.918914806980439</v>
      </c>
      <c r="C416">
        <f ca="1"/>
        <v>189.1</v>
      </c>
      <c r="D416">
        <f ca="1"/>
        <v>4.4999999999999998E-2</v>
      </c>
      <c r="E416">
        <f t="shared" ca="1" si="25"/>
        <v>3.7499999999999999E-3</v>
      </c>
      <c r="F416">
        <f ca="1"/>
        <v>56.69</v>
      </c>
      <c r="G416">
        <f t="shared" ca="1" si="27"/>
        <v>1.0587612493382359E-3</v>
      </c>
      <c r="H416">
        <f t="shared" ca="1" si="26"/>
        <v>2.691238750661764E-3</v>
      </c>
      <c r="I416">
        <f ca="1"/>
        <v>1.8599999999999998E-2</v>
      </c>
      <c r="J416">
        <f ca="1"/>
        <v>25.854749999999999</v>
      </c>
    </row>
    <row r="417" spans="1:10" x14ac:dyDescent="0.25">
      <c r="A417" t="str">
        <v>2004-08-31</v>
      </c>
      <c r="B417">
        <f t="shared" ca="1" si="24"/>
        <v>97.790401321353059</v>
      </c>
      <c r="C417">
        <f ca="1"/>
        <v>189.2</v>
      </c>
      <c r="D417">
        <f ca="1"/>
        <v>4.2799999999999998E-2</v>
      </c>
      <c r="E417">
        <f t="shared" ca="1" si="25"/>
        <v>3.5666666666666663E-3</v>
      </c>
      <c r="F417">
        <f ca="1"/>
        <v>57.23</v>
      </c>
      <c r="G417">
        <f t="shared" ca="1" si="27"/>
        <v>5.2882072977267214E-4</v>
      </c>
      <c r="H417">
        <f t="shared" ca="1" si="26"/>
        <v>3.0378459368939942E-3</v>
      </c>
      <c r="I417">
        <f ca="1"/>
        <v>2.1299999999999999E-2</v>
      </c>
      <c r="J417">
        <f ca="1"/>
        <v>26.09787</v>
      </c>
    </row>
    <row r="418" spans="1:10" x14ac:dyDescent="0.25">
      <c r="A418" t="str">
        <v>2004-09-30</v>
      </c>
      <c r="B418">
        <f t="shared" ca="1" si="24"/>
        <v>98.401059378292942</v>
      </c>
      <c r="C418">
        <f ca="1"/>
        <v>189.8</v>
      </c>
      <c r="D418">
        <f ca="1"/>
        <v>4.1300000000000003E-2</v>
      </c>
      <c r="E418">
        <f t="shared" ca="1" si="25"/>
        <v>3.4416666666666671E-3</v>
      </c>
      <c r="F418">
        <f ca="1"/>
        <v>57.77</v>
      </c>
      <c r="G418">
        <f t="shared" ca="1" si="27"/>
        <v>3.1712473572940159E-3</v>
      </c>
      <c r="H418">
        <f t="shared" ca="1" si="26"/>
        <v>2.7041930937265124E-4</v>
      </c>
      <c r="I418">
        <f ca="1"/>
        <v>2.1899999999999999E-2</v>
      </c>
      <c r="J418">
        <f ca="1"/>
        <v>26.299119999999998</v>
      </c>
    </row>
    <row r="419" spans="1:10" x14ac:dyDescent="0.25">
      <c r="A419" t="str">
        <v>2004-10-31</v>
      </c>
      <c r="B419">
        <f t="shared" ca="1" si="24"/>
        <v>98.325873846960164</v>
      </c>
      <c r="C419">
        <f ca="1"/>
        <v>190.8</v>
      </c>
      <c r="D419">
        <f ca="1"/>
        <v>4.1000000000000002E-2</v>
      </c>
      <c r="E419">
        <f t="shared" ca="1" si="25"/>
        <v>3.4166666666666668E-3</v>
      </c>
      <c r="F419">
        <f ca="1"/>
        <v>58.03</v>
      </c>
      <c r="G419">
        <f t="shared" ca="1" si="27"/>
        <v>5.2687038988408208E-3</v>
      </c>
      <c r="H419">
        <f t="shared" ca="1" si="26"/>
        <v>-1.852037232174154E-3</v>
      </c>
      <c r="I419">
        <f ca="1"/>
        <v>2.3099999999999999E-2</v>
      </c>
      <c r="J419">
        <f ca="1"/>
        <v>26.288789999999999</v>
      </c>
    </row>
    <row r="420" spans="1:10" x14ac:dyDescent="0.25">
      <c r="A420" t="str">
        <v>2004-11-30</v>
      </c>
      <c r="B420">
        <f t="shared" ca="1" si="24"/>
        <v>98.302725039123629</v>
      </c>
      <c r="C420">
        <f ca="1"/>
        <v>191.7</v>
      </c>
      <c r="D420">
        <f ca="1"/>
        <v>4.19E-2</v>
      </c>
      <c r="E420">
        <f t="shared" ca="1" si="25"/>
        <v>3.4916666666666668E-3</v>
      </c>
      <c r="F420">
        <f ca="1"/>
        <v>58.29</v>
      </c>
      <c r="G420">
        <f t="shared" ca="1" si="27"/>
        <v>4.7169811320753041E-3</v>
      </c>
      <c r="H420">
        <f t="shared" ca="1" si="26"/>
        <v>-1.2253144654086373E-3</v>
      </c>
      <c r="I420">
        <f ca="1"/>
        <v>2.0500000000000001E-2</v>
      </c>
      <c r="J420">
        <f ca="1"/>
        <v>26.4024</v>
      </c>
    </row>
    <row r="421" spans="1:10" x14ac:dyDescent="0.25">
      <c r="A421" t="str">
        <v>2004-12-31</v>
      </c>
      <c r="B421">
        <f t="shared" ca="1" si="24"/>
        <v>98.741200052164857</v>
      </c>
      <c r="C421">
        <f ca="1"/>
        <v>191.7</v>
      </c>
      <c r="D421">
        <f ca="1"/>
        <v>4.2299999999999997E-2</v>
      </c>
      <c r="E421">
        <f t="shared" ca="1" si="25"/>
        <v>3.5249999999999999E-3</v>
      </c>
      <c r="F421">
        <f ca="1"/>
        <v>58.55</v>
      </c>
      <c r="G421">
        <f t="shared" ca="1" si="27"/>
        <v>0</v>
      </c>
      <c r="H421">
        <f t="shared" ca="1" si="26"/>
        <v>3.5249999999999999E-3</v>
      </c>
      <c r="I421">
        <f ca="1"/>
        <v>1.8800000000000001E-2</v>
      </c>
      <c r="J421">
        <f ca="1"/>
        <v>26.627359999999999</v>
      </c>
    </row>
    <row r="422" spans="1:10" x14ac:dyDescent="0.25">
      <c r="A422" t="str">
        <v>2005-01-31</v>
      </c>
      <c r="B422">
        <f t="shared" ca="1" si="24"/>
        <v>99.732016967484341</v>
      </c>
      <c r="C422">
        <f ca="1"/>
        <v>191.6</v>
      </c>
      <c r="D422">
        <f ca="1"/>
        <v>4.2200000000000001E-2</v>
      </c>
      <c r="E422">
        <f t="shared" ca="1" si="25"/>
        <v>3.5166666666666666E-3</v>
      </c>
      <c r="F422">
        <f ca="1"/>
        <v>59.106670000000001</v>
      </c>
      <c r="G422">
        <f t="shared" ca="1" si="27"/>
        <v>-5.2164840897228615E-4</v>
      </c>
      <c r="H422">
        <f t="shared" ca="1" si="26"/>
        <v>4.0383150756389524E-3</v>
      </c>
      <c r="I422">
        <f ca="1"/>
        <v>1.95E-2</v>
      </c>
      <c r="J422">
        <f ca="1"/>
        <v>26.931439999999998</v>
      </c>
    </row>
    <row r="423" spans="1:10" x14ac:dyDescent="0.25">
      <c r="A423" t="str">
        <v>2005-02-28</v>
      </c>
      <c r="B423">
        <f t="shared" ca="1" si="24"/>
        <v>100.25269032759874</v>
      </c>
      <c r="C423">
        <f ca="1"/>
        <v>192.4</v>
      </c>
      <c r="D423">
        <f ca="1"/>
        <v>4.1700000000000001E-2</v>
      </c>
      <c r="E423">
        <f t="shared" ca="1" si="25"/>
        <v>3.4750000000000002E-3</v>
      </c>
      <c r="F423">
        <f ca="1"/>
        <v>59.663330000000002</v>
      </c>
      <c r="G423">
        <f t="shared" ca="1" si="27"/>
        <v>4.1753653444676075E-3</v>
      </c>
      <c r="H423">
        <f t="shared" ca="1" si="26"/>
        <v>-7.0036534446760732E-4</v>
      </c>
      <c r="I423">
        <f ca="1"/>
        <v>0.02</v>
      </c>
      <c r="J423">
        <f ca="1"/>
        <v>27.13486</v>
      </c>
    </row>
    <row r="424" spans="1:10" x14ac:dyDescent="0.25">
      <c r="A424" t="str">
        <v>2005-03-31</v>
      </c>
      <c r="B424">
        <f t="shared" ca="1" si="24"/>
        <v>100.82125334023821</v>
      </c>
      <c r="C424">
        <f ca="1"/>
        <v>193.1</v>
      </c>
      <c r="D424">
        <f ca="1"/>
        <v>4.4999999999999998E-2</v>
      </c>
      <c r="E424">
        <f t="shared" ca="1" si="25"/>
        <v>3.7499999999999999E-3</v>
      </c>
      <c r="F424">
        <f ca="1"/>
        <v>60.22</v>
      </c>
      <c r="G424">
        <f t="shared" ca="1" si="27"/>
        <v>3.6382536382535413E-3</v>
      </c>
      <c r="H424">
        <f t="shared" ca="1" si="26"/>
        <v>1.1174636174645855E-4</v>
      </c>
      <c r="I424">
        <f ca="1"/>
        <v>1.77E-2</v>
      </c>
      <c r="J424">
        <f ca="1"/>
        <v>27.279389999999999</v>
      </c>
    </row>
    <row r="425" spans="1:10" x14ac:dyDescent="0.25">
      <c r="A425" t="str">
        <v>2005-04-30</v>
      </c>
      <c r="B425">
        <f t="shared" ca="1" si="24"/>
        <v>102.2002296800723</v>
      </c>
      <c r="C425">
        <f ca="1"/>
        <v>193.7</v>
      </c>
      <c r="D425">
        <f ca="1"/>
        <v>4.3400000000000001E-2</v>
      </c>
      <c r="E425">
        <f t="shared" ca="1" si="25"/>
        <v>3.6166666666666669E-3</v>
      </c>
      <c r="F425">
        <f ca="1"/>
        <v>61.233330000000002</v>
      </c>
      <c r="G425">
        <f t="shared" ca="1" si="27"/>
        <v>3.1071983428274663E-3</v>
      </c>
      <c r="H425">
        <f t="shared" ca="1" si="26"/>
        <v>5.0946832383920058E-4</v>
      </c>
      <c r="I425">
        <f ca="1"/>
        <v>2.1000000000000001E-2</v>
      </c>
      <c r="J425">
        <f ca="1"/>
        <v>27.409690000000001</v>
      </c>
    </row>
    <row r="426" spans="1:10" x14ac:dyDescent="0.25">
      <c r="A426" t="str">
        <v>2005-05-31</v>
      </c>
      <c r="B426">
        <f t="shared" ca="1" si="24"/>
        <v>103.94518693682852</v>
      </c>
      <c r="C426">
        <f ca="1"/>
        <v>193.6</v>
      </c>
      <c r="D426">
        <f ca="1"/>
        <v>4.1399999999999999E-2</v>
      </c>
      <c r="E426">
        <f t="shared" ca="1" si="25"/>
        <v>3.4499999999999999E-3</v>
      </c>
      <c r="F426">
        <f ca="1"/>
        <v>62.246670000000002</v>
      </c>
      <c r="G426">
        <f t="shared" ca="1" si="27"/>
        <v>-5.162622612286949E-4</v>
      </c>
      <c r="H426">
        <f t="shared" ca="1" si="26"/>
        <v>3.9662622612286948E-3</v>
      </c>
      <c r="I426">
        <f ca="1"/>
        <v>2.24E-2</v>
      </c>
      <c r="J426">
        <f ca="1"/>
        <v>27.75075</v>
      </c>
    </row>
    <row r="427" spans="1:10" x14ac:dyDescent="0.25">
      <c r="A427" t="str">
        <v>2005-06-30</v>
      </c>
      <c r="B427">
        <f t="shared" ca="1" si="24"/>
        <v>105.58280154878679</v>
      </c>
      <c r="C427">
        <f ca="1"/>
        <v>193.7</v>
      </c>
      <c r="D427">
        <f ca="1"/>
        <v>0.04</v>
      </c>
      <c r="E427">
        <f t="shared" ca="1" si="25"/>
        <v>3.3333333333333335E-3</v>
      </c>
      <c r="F427">
        <f ca="1"/>
        <v>63.26</v>
      </c>
      <c r="G427">
        <f t="shared" ca="1" si="27"/>
        <v>5.1652892561970809E-4</v>
      </c>
      <c r="H427">
        <f t="shared" ca="1" si="26"/>
        <v>2.8168044077136255E-3</v>
      </c>
      <c r="I427">
        <f ca="1"/>
        <v>2.3E-2</v>
      </c>
      <c r="J427">
        <f ca="1"/>
        <v>28.049189999999999</v>
      </c>
    </row>
    <row r="428" spans="1:10" x14ac:dyDescent="0.25">
      <c r="A428" t="str">
        <v>2005-07-31</v>
      </c>
      <c r="B428">
        <f t="shared" ca="1" si="24"/>
        <v>106.70759379168804</v>
      </c>
      <c r="C428">
        <f ca="1"/>
        <v>194.9</v>
      </c>
      <c r="D428">
        <f ca="1"/>
        <v>4.1799999999999997E-2</v>
      </c>
      <c r="E428">
        <f t="shared" ca="1" si="25"/>
        <v>3.4833333333333331E-3</v>
      </c>
      <c r="F428">
        <f ca="1"/>
        <v>64.33</v>
      </c>
      <c r="G428">
        <f t="shared" ca="1" si="27"/>
        <v>6.1951471347445608E-3</v>
      </c>
      <c r="H428">
        <f t="shared" ca="1" si="26"/>
        <v>-2.7118138014112277E-3</v>
      </c>
      <c r="I428">
        <f ca="1"/>
        <v>2.1299999999999999E-2</v>
      </c>
      <c r="J428">
        <f ca="1"/>
        <v>28.16011</v>
      </c>
    </row>
    <row r="429" spans="1:10" x14ac:dyDescent="0.25">
      <c r="A429" t="str">
        <v>2005-08-31</v>
      </c>
      <c r="B429">
        <f t="shared" ca="1" si="24"/>
        <v>107.81862009178991</v>
      </c>
      <c r="C429">
        <f ca="1"/>
        <v>196.1</v>
      </c>
      <c r="D429">
        <f ca="1"/>
        <v>4.2599999999999999E-2</v>
      </c>
      <c r="E429">
        <f t="shared" ca="1" si="25"/>
        <v>3.5499999999999998E-3</v>
      </c>
      <c r="F429">
        <f ca="1"/>
        <v>65.400000000000006</v>
      </c>
      <c r="G429">
        <f t="shared" ca="1" si="27"/>
        <v>6.1570035915854415E-3</v>
      </c>
      <c r="H429">
        <f t="shared" ca="1" si="26"/>
        <v>-2.6070035915854418E-3</v>
      </c>
      <c r="I429">
        <f ca="1"/>
        <v>2.1100000000000001E-2</v>
      </c>
      <c r="J429">
        <f ca="1"/>
        <v>28.25562</v>
      </c>
    </row>
    <row r="430" spans="1:10" x14ac:dyDescent="0.25">
      <c r="A430" t="str">
        <v>2005-09-30</v>
      </c>
      <c r="B430">
        <f t="shared" ca="1" si="24"/>
        <v>108.09432982897384</v>
      </c>
      <c r="C430">
        <f ca="1"/>
        <v>198.8</v>
      </c>
      <c r="D430">
        <f ca="1"/>
        <v>4.2000000000000003E-2</v>
      </c>
      <c r="E430">
        <f t="shared" ca="1" si="25"/>
        <v>3.5000000000000001E-3</v>
      </c>
      <c r="F430">
        <f ca="1"/>
        <v>66.47</v>
      </c>
      <c r="G430">
        <f t="shared" ca="1" si="27"/>
        <v>1.3768485466598701E-2</v>
      </c>
      <c r="H430">
        <f t="shared" ca="1" si="26"/>
        <v>-1.0268485466598701E-2</v>
      </c>
      <c r="I430">
        <f ca="1"/>
        <v>2.3300000000000001E-2</v>
      </c>
      <c r="J430">
        <f ca="1"/>
        <v>28.150510000000001</v>
      </c>
    </row>
    <row r="431" spans="1:10" x14ac:dyDescent="0.25">
      <c r="A431" t="str">
        <v>2005-10-31</v>
      </c>
      <c r="B431">
        <f t="shared" ca="1" si="24"/>
        <v>109.75006875941739</v>
      </c>
      <c r="C431">
        <f ca="1"/>
        <v>199.1</v>
      </c>
      <c r="D431">
        <f ca="1"/>
        <v>4.4600000000000001E-2</v>
      </c>
      <c r="E431">
        <f t="shared" ca="1" si="25"/>
        <v>3.7166666666666667E-3</v>
      </c>
      <c r="F431">
        <f ca="1"/>
        <v>67.59</v>
      </c>
      <c r="G431">
        <f t="shared" ca="1" si="27"/>
        <v>1.5090543259557165E-3</v>
      </c>
      <c r="H431">
        <f t="shared" ca="1" si="26"/>
        <v>2.2076123407109502E-3</v>
      </c>
      <c r="I431">
        <f ca="1"/>
        <v>2.1899999999999999E-2</v>
      </c>
      <c r="J431">
        <f ca="1"/>
        <v>28.421119999999998</v>
      </c>
    </row>
    <row r="432" spans="1:10" x14ac:dyDescent="0.25">
      <c r="A432" t="str">
        <v>2005-11-30</v>
      </c>
      <c r="B432">
        <f t="shared" ca="1" si="24"/>
        <v>112.13187587077232</v>
      </c>
      <c r="C432">
        <f ca="1"/>
        <v>198.1</v>
      </c>
      <c r="D432">
        <f ca="1"/>
        <v>4.5400000000000003E-2</v>
      </c>
      <c r="E432">
        <f t="shared" ca="1" si="25"/>
        <v>3.7833333333333334E-3</v>
      </c>
      <c r="F432">
        <f ca="1"/>
        <v>68.709999999999994</v>
      </c>
      <c r="G432">
        <f t="shared" ca="1" si="27"/>
        <v>-5.0226017076845375E-3</v>
      </c>
      <c r="H432">
        <f t="shared" ca="1" si="26"/>
        <v>8.8059350410178705E-3</v>
      </c>
      <c r="I432">
        <f ca="1"/>
        <v>1.8700000000000001E-2</v>
      </c>
      <c r="J432">
        <f ca="1"/>
        <v>28.981030000000001</v>
      </c>
    </row>
    <row r="433" spans="1:10" x14ac:dyDescent="0.25">
      <c r="A433" t="str">
        <v>2005-12-31</v>
      </c>
      <c r="B433">
        <f t="shared" ca="1" si="24"/>
        <v>113.95966951034832</v>
      </c>
      <c r="C433">
        <f ca="1"/>
        <v>198.1</v>
      </c>
      <c r="D433">
        <f ca="1"/>
        <v>4.4699999999999997E-2</v>
      </c>
      <c r="E433">
        <f t="shared" ca="1" si="25"/>
        <v>3.7249999999999996E-3</v>
      </c>
      <c r="F433">
        <f ca="1"/>
        <v>69.83</v>
      </c>
      <c r="G433">
        <f t="shared" ca="1" si="27"/>
        <v>0</v>
      </c>
      <c r="H433">
        <f t="shared" ca="1" si="26"/>
        <v>3.7249999999999996E-3</v>
      </c>
      <c r="I433">
        <f ca="1"/>
        <v>1.83E-2</v>
      </c>
      <c r="J433">
        <f ca="1"/>
        <v>29.429960000000001</v>
      </c>
    </row>
    <row r="434" spans="1:10" x14ac:dyDescent="0.25">
      <c r="A434" t="str">
        <v>2006-01-31</v>
      </c>
      <c r="B434">
        <f t="shared" ca="1" si="24"/>
        <v>114.80913407410937</v>
      </c>
      <c r="C434">
        <f ca="1"/>
        <v>199.3</v>
      </c>
      <c r="D434">
        <f ca="1"/>
        <v>4.4200000000000003E-2</v>
      </c>
      <c r="E434">
        <f t="shared" ca="1" si="25"/>
        <v>3.6833333333333336E-3</v>
      </c>
      <c r="F434">
        <f ca="1"/>
        <v>70.776669999999996</v>
      </c>
      <c r="G434">
        <f t="shared" ca="1" si="27"/>
        <v>6.0575466935892663E-3</v>
      </c>
      <c r="H434">
        <f t="shared" ca="1" si="26"/>
        <v>-2.3742133602559327E-3</v>
      </c>
      <c r="I434">
        <f ca="1"/>
        <v>1.89E-2</v>
      </c>
      <c r="J434">
        <f ca="1"/>
        <v>29.4527</v>
      </c>
    </row>
    <row r="435" spans="1:10" x14ac:dyDescent="0.25">
      <c r="A435" t="str">
        <v>2006-02-28</v>
      </c>
      <c r="B435">
        <f t="shared" ca="1" si="24"/>
        <v>116.28639457888666</v>
      </c>
      <c r="C435">
        <f ca="1"/>
        <v>199.4</v>
      </c>
      <c r="D435">
        <f ca="1"/>
        <v>4.5699999999999998E-2</v>
      </c>
      <c r="E435">
        <f t="shared" ca="1" si="25"/>
        <v>3.8083333333333333E-3</v>
      </c>
      <c r="F435">
        <f ca="1"/>
        <v>71.723330000000004</v>
      </c>
      <c r="G435">
        <f t="shared" ca="1" si="27"/>
        <v>5.0175614651282174E-4</v>
      </c>
      <c r="H435">
        <f t="shared" ca="1" si="26"/>
        <v>3.3065771868205115E-3</v>
      </c>
      <c r="I435">
        <f ca="1"/>
        <v>1.7600000000000001E-2</v>
      </c>
      <c r="J435">
        <f ca="1"/>
        <v>29.638290000000001</v>
      </c>
    </row>
    <row r="436" spans="1:10" x14ac:dyDescent="0.25">
      <c r="A436" t="str">
        <v>2006-03-31</v>
      </c>
      <c r="B436">
        <f t="shared" ca="1" si="24"/>
        <v>117.64425122684027</v>
      </c>
      <c r="C436">
        <f ca="1"/>
        <v>199.7</v>
      </c>
      <c r="D436">
        <f ca="1"/>
        <v>4.7199999999999999E-2</v>
      </c>
      <c r="E436">
        <f t="shared" ca="1" si="25"/>
        <v>3.933333333333333E-3</v>
      </c>
      <c r="F436">
        <f ca="1"/>
        <v>72.67</v>
      </c>
      <c r="G436">
        <f t="shared" ca="1" si="27"/>
        <v>1.5045135406217547E-3</v>
      </c>
      <c r="H436">
        <f t="shared" ca="1" si="26"/>
        <v>2.4288197927115783E-3</v>
      </c>
      <c r="I436">
        <f ca="1"/>
        <v>1.6E-2</v>
      </c>
      <c r="J436">
        <f ca="1"/>
        <v>29.718640000000001</v>
      </c>
    </row>
    <row r="437" spans="1:10" x14ac:dyDescent="0.25">
      <c r="A437" t="str">
        <v>2006-04-30</v>
      </c>
      <c r="B437">
        <f t="shared" ca="1" si="24"/>
        <v>118.035315998854</v>
      </c>
      <c r="C437">
        <f ca="1"/>
        <v>200.7</v>
      </c>
      <c r="D437">
        <f ca="1"/>
        <v>4.99E-2</v>
      </c>
      <c r="E437">
        <f t="shared" ca="1" si="25"/>
        <v>4.1583333333333333E-3</v>
      </c>
      <c r="F437">
        <f ca="1"/>
        <v>73.276669999999996</v>
      </c>
      <c r="G437">
        <f t="shared" ca="1" si="27"/>
        <v>5.0075112669003552E-3</v>
      </c>
      <c r="H437">
        <f t="shared" ca="1" si="26"/>
        <v>-8.4917793356702187E-4</v>
      </c>
      <c r="I437">
        <f ca="1"/>
        <v>1.41E-2</v>
      </c>
      <c r="J437">
        <f ca="1"/>
        <v>29.752500000000001</v>
      </c>
    </row>
    <row r="438" spans="1:10" x14ac:dyDescent="0.25">
      <c r="A438" t="str">
        <v>2006-05-31</v>
      </c>
      <c r="B438">
        <f t="shared" ca="1" si="24"/>
        <v>118.65780247903625</v>
      </c>
      <c r="C438">
        <f ca="1"/>
        <v>201.3</v>
      </c>
      <c r="D438">
        <f ca="1"/>
        <v>5.11E-2</v>
      </c>
      <c r="E438">
        <f t="shared" ca="1" si="25"/>
        <v>4.2583333333333336E-3</v>
      </c>
      <c r="F438">
        <f ca="1"/>
        <v>73.883330000000001</v>
      </c>
      <c r="G438">
        <f t="shared" ca="1" si="27"/>
        <v>2.989536621823774E-3</v>
      </c>
      <c r="H438">
        <f t="shared" ca="1" si="26"/>
        <v>1.2687967115095596E-3</v>
      </c>
      <c r="I438">
        <f ca="1"/>
        <v>1.3899999999999999E-2</v>
      </c>
      <c r="J438">
        <f ca="1"/>
        <v>29.888760000000001</v>
      </c>
    </row>
    <row r="439" spans="1:10" x14ac:dyDescent="0.25">
      <c r="A439" t="str">
        <v>2006-06-30</v>
      </c>
      <c r="B439">
        <f t="shared" ca="1" si="24"/>
        <v>119.33571154608522</v>
      </c>
      <c r="C439">
        <f ca="1"/>
        <v>201.8</v>
      </c>
      <c r="D439">
        <f ca="1"/>
        <v>5.11E-2</v>
      </c>
      <c r="E439">
        <f t="shared" ca="1" si="25"/>
        <v>4.2583333333333336E-3</v>
      </c>
      <c r="F439">
        <f ca="1"/>
        <v>74.489999999999995</v>
      </c>
      <c r="G439">
        <f t="shared" ca="1" si="27"/>
        <v>2.4838549428713996E-3</v>
      </c>
      <c r="H439">
        <f t="shared" ca="1" si="26"/>
        <v>1.774478390461934E-3</v>
      </c>
      <c r="I439">
        <f ca="1"/>
        <v>1.55E-2</v>
      </c>
      <c r="J439">
        <f ca="1"/>
        <v>30.112459999999999</v>
      </c>
    </row>
    <row r="440" spans="1:10" x14ac:dyDescent="0.25">
      <c r="A440" t="str">
        <v>2006-07-31</v>
      </c>
      <c r="B440">
        <f t="shared" ca="1" si="24"/>
        <v>120.85570404139969</v>
      </c>
      <c r="C440">
        <f ca="1"/>
        <v>202.9</v>
      </c>
      <c r="D440">
        <f ca="1"/>
        <v>5.0900000000000001E-2</v>
      </c>
      <c r="E440">
        <f t="shared" ca="1" si="25"/>
        <v>4.241666666666667E-3</v>
      </c>
      <c r="F440">
        <f ca="1"/>
        <v>75.849999999999994</v>
      </c>
      <c r="G440">
        <f t="shared" ca="1" si="27"/>
        <v>5.4509415262635752E-3</v>
      </c>
      <c r="H440">
        <f t="shared" ca="1" si="26"/>
        <v>-1.2092748595969082E-3</v>
      </c>
      <c r="I440">
        <f ca="1"/>
        <v>1.5900000000000001E-2</v>
      </c>
      <c r="J440">
        <f ca="1"/>
        <v>30.30547</v>
      </c>
    </row>
    <row r="441" spans="1:10" x14ac:dyDescent="0.25">
      <c r="A441" t="str">
        <v>2006-08-31</v>
      </c>
      <c r="B441">
        <f t="shared" ca="1" si="24"/>
        <v>122.47938228655542</v>
      </c>
      <c r="C441">
        <f ca="1"/>
        <v>203.8</v>
      </c>
      <c r="D441">
        <f ca="1"/>
        <v>4.8800000000000003E-2</v>
      </c>
      <c r="E441">
        <f t="shared" ca="1" si="25"/>
        <v>4.0666666666666672E-3</v>
      </c>
      <c r="F441">
        <f ca="1"/>
        <v>77.209999999999994</v>
      </c>
      <c r="G441">
        <f t="shared" ca="1" si="27"/>
        <v>4.4356826022671214E-3</v>
      </c>
      <c r="H441">
        <f t="shared" ca="1" si="26"/>
        <v>-3.690159356004542E-4</v>
      </c>
      <c r="I441">
        <f ca="1"/>
        <v>1.7399999999999999E-2</v>
      </c>
      <c r="J441">
        <f ca="1"/>
        <v>30.527249999999999</v>
      </c>
    </row>
    <row r="442" spans="1:10" x14ac:dyDescent="0.25">
      <c r="A442" t="str">
        <v>2006-09-30</v>
      </c>
      <c r="B442">
        <f t="shared" ca="1" si="24"/>
        <v>125.25135044378696</v>
      </c>
      <c r="C442">
        <f ca="1"/>
        <v>202.8</v>
      </c>
      <c r="D442">
        <f ca="1"/>
        <v>4.7199999999999999E-2</v>
      </c>
      <c r="E442">
        <f t="shared" ca="1" si="25"/>
        <v>3.933333333333333E-3</v>
      </c>
      <c r="F442">
        <f ca="1"/>
        <v>78.569999999999993</v>
      </c>
      <c r="G442">
        <f t="shared" ca="1" si="27"/>
        <v>-4.9067713444553851E-3</v>
      </c>
      <c r="H442">
        <f t="shared" ca="1" si="26"/>
        <v>8.8401046777887189E-3</v>
      </c>
      <c r="I442">
        <f ca="1"/>
        <v>1.7299999999999999E-2</v>
      </c>
      <c r="J442">
        <f ca="1"/>
        <v>30.960329999999999</v>
      </c>
    </row>
    <row r="443" spans="1:10" x14ac:dyDescent="0.25">
      <c r="A443" t="str">
        <v>2006-10-31</v>
      </c>
      <c r="B443">
        <f t="shared" ca="1" si="24"/>
        <v>127.37889574046557</v>
      </c>
      <c r="C443">
        <f ca="1"/>
        <v>201.9</v>
      </c>
      <c r="D443">
        <f ca="1"/>
        <v>4.7300000000000002E-2</v>
      </c>
      <c r="E443">
        <f t="shared" ca="1" si="25"/>
        <v>3.9416666666666671E-3</v>
      </c>
      <c r="F443">
        <f ca="1"/>
        <v>79.55</v>
      </c>
      <c r="G443">
        <f t="shared" ca="1" si="27"/>
        <v>-4.4378698224852853E-3</v>
      </c>
      <c r="H443">
        <f t="shared" ca="1" si="26"/>
        <v>8.3795364891519515E-3</v>
      </c>
      <c r="I443">
        <f ca="1"/>
        <v>1.4999999999999999E-2</v>
      </c>
      <c r="J443">
        <f ca="1"/>
        <v>31.464929999999999</v>
      </c>
    </row>
    <row r="444" spans="1:10" x14ac:dyDescent="0.25">
      <c r="A444" t="str">
        <v>2006-11-30</v>
      </c>
      <c r="B444">
        <f t="shared" ca="1" si="24"/>
        <v>128.88427836633664</v>
      </c>
      <c r="C444">
        <f ca="1"/>
        <v>202</v>
      </c>
      <c r="D444">
        <f ca="1"/>
        <v>4.5999999999999999E-2</v>
      </c>
      <c r="E444">
        <f t="shared" ca="1" si="25"/>
        <v>3.8333333333333331E-3</v>
      </c>
      <c r="F444">
        <f ca="1"/>
        <v>80.53</v>
      </c>
      <c r="G444">
        <f t="shared" ca="1" si="27"/>
        <v>4.9529470034670453E-4</v>
      </c>
      <c r="H444">
        <f t="shared" ca="1" si="26"/>
        <v>3.3380386329866286E-3</v>
      </c>
      <c r="I444">
        <f ca="1"/>
        <v>1.54E-2</v>
      </c>
      <c r="J444">
        <f ca="1"/>
        <v>31.848109999999998</v>
      </c>
    </row>
    <row r="445" spans="1:10" x14ac:dyDescent="0.25">
      <c r="A445" t="str">
        <v>2006-12-31</v>
      </c>
      <c r="B445">
        <f t="shared" ca="1" si="24"/>
        <v>129.7461812407681</v>
      </c>
      <c r="C445">
        <f ca="1"/>
        <v>203.1</v>
      </c>
      <c r="D445">
        <f ca="1"/>
        <v>4.5600000000000002E-2</v>
      </c>
      <c r="E445">
        <f t="shared" ca="1" si="25"/>
        <v>3.8E-3</v>
      </c>
      <c r="F445">
        <f ca="1"/>
        <v>81.510000000000005</v>
      </c>
      <c r="G445">
        <f t="shared" ca="1" si="27"/>
        <v>5.4455445544554504E-3</v>
      </c>
      <c r="H445">
        <f t="shared" ca="1" si="26"/>
        <v>-1.6455445544554504E-3</v>
      </c>
      <c r="I445">
        <f ca="1"/>
        <v>1.54E-2</v>
      </c>
      <c r="J445">
        <f ca="1"/>
        <v>32.136589999999998</v>
      </c>
    </row>
    <row r="446" spans="1:10" x14ac:dyDescent="0.25">
      <c r="A446" t="str">
        <v>2007-01-31</v>
      </c>
      <c r="B446">
        <f t="shared" ca="1" si="24"/>
        <v>130.39999066526735</v>
      </c>
      <c r="C446">
        <f ca="1"/>
        <v>203.43700000000001</v>
      </c>
      <c r="D446">
        <f ca="1"/>
        <v>4.7600000000000003E-2</v>
      </c>
      <c r="E446">
        <f t="shared" ca="1" si="25"/>
        <v>3.966666666666667E-3</v>
      </c>
      <c r="F446">
        <f ca="1"/>
        <v>82.056669999999997</v>
      </c>
      <c r="G446">
        <f t="shared" ca="1" si="27"/>
        <v>1.659281142294633E-3</v>
      </c>
      <c r="H446">
        <f t="shared" ca="1" si="26"/>
        <v>2.307385524372034E-3</v>
      </c>
      <c r="I446">
        <f ca="1"/>
        <v>1.35E-2</v>
      </c>
      <c r="J446">
        <f ca="1"/>
        <v>32.300629999999998</v>
      </c>
    </row>
    <row r="447" spans="1:10" x14ac:dyDescent="0.25">
      <c r="A447" t="str">
        <v>2007-02-28</v>
      </c>
      <c r="B447">
        <f t="shared" ca="1" si="24"/>
        <v>130.76157374198192</v>
      </c>
      <c r="C447">
        <f ca="1"/>
        <v>204.226</v>
      </c>
      <c r="D447">
        <f ca="1"/>
        <v>4.7199999999999999E-2</v>
      </c>
      <c r="E447">
        <f t="shared" ca="1" si="25"/>
        <v>3.933333333333333E-3</v>
      </c>
      <c r="F447">
        <f ca="1"/>
        <v>82.60333</v>
      </c>
      <c r="G447">
        <f t="shared" ca="1" si="27"/>
        <v>3.8783505458692691E-3</v>
      </c>
      <c r="H447">
        <f t="shared" ca="1" si="26"/>
        <v>5.4982787464063869E-5</v>
      </c>
      <c r="I447">
        <f ca="1"/>
        <v>1.4E-2</v>
      </c>
      <c r="J447">
        <f ca="1"/>
        <v>32.389180000000003</v>
      </c>
    </row>
    <row r="448" spans="1:10" x14ac:dyDescent="0.25">
      <c r="A448" t="str">
        <v>2007-03-31</v>
      </c>
      <c r="B448">
        <f t="shared" ca="1" si="24"/>
        <v>130.94602046880482</v>
      </c>
      <c r="C448">
        <f ca="1"/>
        <v>205.28800000000001</v>
      </c>
      <c r="D448">
        <f ca="1"/>
        <v>4.5600000000000002E-2</v>
      </c>
      <c r="E448">
        <f t="shared" ca="1" si="25"/>
        <v>3.8E-3</v>
      </c>
      <c r="F448">
        <f ca="1"/>
        <v>83.15</v>
      </c>
      <c r="G448">
        <f t="shared" ca="1" si="27"/>
        <v>5.2001214340975377E-3</v>
      </c>
      <c r="H448">
        <f t="shared" ca="1" si="26"/>
        <v>-1.4001214340975377E-3</v>
      </c>
      <c r="I448">
        <f ca="1"/>
        <v>1.78E-2</v>
      </c>
      <c r="J448">
        <f ca="1"/>
        <v>32.35501</v>
      </c>
    </row>
    <row r="449" spans="1:10" x14ac:dyDescent="0.25">
      <c r="A449" t="str">
        <v>2007-04-30</v>
      </c>
      <c r="B449">
        <f t="shared" ca="1" si="24"/>
        <v>131.48063340197373</v>
      </c>
      <c r="C449">
        <f ca="1"/>
        <v>205.904</v>
      </c>
      <c r="D449">
        <f ca="1"/>
        <v>4.6899999999999997E-2</v>
      </c>
      <c r="E449">
        <f t="shared" ca="1" si="25"/>
        <v>3.9083333333333331E-3</v>
      </c>
      <c r="F449">
        <f ca="1"/>
        <v>83.74</v>
      </c>
      <c r="G449">
        <f t="shared" ca="1" si="27"/>
        <v>3.0006624839249429E-3</v>
      </c>
      <c r="H449">
        <f t="shared" ca="1" si="26"/>
        <v>9.0767084940839016E-4</v>
      </c>
      <c r="I449">
        <f ca="1"/>
        <v>1.6E-2</v>
      </c>
      <c r="J449">
        <f ca="1"/>
        <v>32.432040000000001</v>
      </c>
    </row>
    <row r="450" spans="1:10" x14ac:dyDescent="0.25">
      <c r="A450" t="str">
        <v>2007-05-31</v>
      </c>
      <c r="B450">
        <f t="shared" ref="B450:B513" ca="1" si="28">F450*$C$669/C450</f>
        <v>131.86201073734614</v>
      </c>
      <c r="C450">
        <f ca="1"/>
        <v>206.755</v>
      </c>
      <c r="D450">
        <f ca="1"/>
        <v>4.7500000000000001E-2</v>
      </c>
      <c r="E450">
        <f t="shared" ca="1" si="25"/>
        <v>3.9583333333333337E-3</v>
      </c>
      <c r="F450">
        <f ca="1"/>
        <v>84.33</v>
      </c>
      <c r="G450">
        <f t="shared" ca="1" si="27"/>
        <v>4.1329940166290324E-3</v>
      </c>
      <c r="H450">
        <f t="shared" ca="1" si="26"/>
        <v>-1.7466068329569876E-4</v>
      </c>
      <c r="I450">
        <f ca="1"/>
        <v>1.5299999999999999E-2</v>
      </c>
      <c r="J450">
        <f ca="1"/>
        <v>32.519179999999999</v>
      </c>
    </row>
    <row r="451" spans="1:10" x14ac:dyDescent="0.25">
      <c r="A451" t="str">
        <v>2007-06-30</v>
      </c>
      <c r="B451">
        <f t="shared" ca="1" si="28"/>
        <v>132.47764227877664</v>
      </c>
      <c r="C451">
        <f ca="1"/>
        <v>207.23400000000001</v>
      </c>
      <c r="D451">
        <f ca="1"/>
        <v>5.0999999999999997E-2</v>
      </c>
      <c r="E451">
        <f t="shared" ref="E451:E514" ca="1" si="29">D451/12</f>
        <v>4.2499999999999994E-3</v>
      </c>
      <c r="F451">
        <f ca="1"/>
        <v>84.92</v>
      </c>
      <c r="G451">
        <f t="shared" ca="1" si="27"/>
        <v>2.3167517109623503E-3</v>
      </c>
      <c r="H451">
        <f t="shared" ref="H451:H514" ca="1" si="30">E451-G451</f>
        <v>1.9332482890376491E-3</v>
      </c>
      <c r="I451">
        <f ca="1"/>
        <v>1.2E-2</v>
      </c>
      <c r="J451">
        <f ca="1"/>
        <v>32.739849999999997</v>
      </c>
    </row>
    <row r="452" spans="1:10" x14ac:dyDescent="0.25">
      <c r="A452" t="str">
        <v>2007-07-31</v>
      </c>
      <c r="B452">
        <f t="shared" ca="1" si="28"/>
        <v>128.96154809434353</v>
      </c>
      <c r="C452">
        <f ca="1"/>
        <v>207.60300000000001</v>
      </c>
      <c r="D452">
        <f ca="1"/>
        <v>0.05</v>
      </c>
      <c r="E452">
        <f t="shared" ca="1" si="29"/>
        <v>4.1666666666666666E-3</v>
      </c>
      <c r="F452">
        <f ca="1"/>
        <v>82.813329999999993</v>
      </c>
      <c r="G452">
        <f t="shared" ref="G452:G515" ca="1" si="31">C452/C451-1</f>
        <v>1.7805958481715844E-3</v>
      </c>
      <c r="H452">
        <f t="shared" ca="1" si="30"/>
        <v>2.3860708184950822E-3</v>
      </c>
      <c r="I452">
        <f ca="1"/>
        <v>1.29E-2</v>
      </c>
      <c r="J452">
        <f ca="1"/>
        <v>33.08605</v>
      </c>
    </row>
    <row r="453" spans="1:10" x14ac:dyDescent="0.25">
      <c r="A453" t="str">
        <v>2007-08-31</v>
      </c>
      <c r="B453">
        <f t="shared" ca="1" si="28"/>
        <v>125.64220627721305</v>
      </c>
      <c r="C453">
        <f ca="1"/>
        <v>207.667</v>
      </c>
      <c r="D453">
        <f ca="1"/>
        <v>4.6699999999999998E-2</v>
      </c>
      <c r="E453">
        <f t="shared" ca="1" si="29"/>
        <v>3.8916666666666665E-3</v>
      </c>
      <c r="F453">
        <f ca="1"/>
        <v>80.706670000000003</v>
      </c>
      <c r="G453">
        <f t="shared" ca="1" si="31"/>
        <v>3.0828070885302594E-4</v>
      </c>
      <c r="H453">
        <f t="shared" ca="1" si="30"/>
        <v>3.5833859578136406E-3</v>
      </c>
      <c r="I453">
        <f ca="1"/>
        <v>1.7600000000000001E-2</v>
      </c>
      <c r="J453">
        <f ca="1"/>
        <v>33.485329999999998</v>
      </c>
    </row>
    <row r="454" spans="1:10" x14ac:dyDescent="0.25">
      <c r="A454" t="str">
        <v>2007-09-30</v>
      </c>
      <c r="B454">
        <f t="shared" ca="1" si="28"/>
        <v>121.84626295271569</v>
      </c>
      <c r="C454">
        <f ca="1"/>
        <v>208.547</v>
      </c>
      <c r="D454">
        <f ca="1"/>
        <v>4.5199999999999997E-2</v>
      </c>
      <c r="E454">
        <f t="shared" ca="1" si="29"/>
        <v>3.7666666666666664E-3</v>
      </c>
      <c r="F454">
        <f ca="1"/>
        <v>78.599999999999994</v>
      </c>
      <c r="G454">
        <f t="shared" ca="1" si="31"/>
        <v>4.2375533907650365E-3</v>
      </c>
      <c r="H454">
        <f t="shared" ca="1" si="30"/>
        <v>-4.7088672409837003E-4</v>
      </c>
      <c r="I454">
        <f ca="1"/>
        <v>1.83E-2</v>
      </c>
      <c r="J454">
        <f ca="1"/>
        <v>33.73086</v>
      </c>
    </row>
    <row r="455" spans="1:10" x14ac:dyDescent="0.25">
      <c r="A455" t="str">
        <v>2007-10-31</v>
      </c>
      <c r="B455">
        <f t="shared" ca="1" si="28"/>
        <v>115.07360705578661</v>
      </c>
      <c r="C455">
        <f ca="1"/>
        <v>209.19</v>
      </c>
      <c r="D455">
        <f ca="1"/>
        <v>4.53E-2</v>
      </c>
      <c r="E455">
        <f t="shared" ca="1" si="29"/>
        <v>3.7750000000000001E-3</v>
      </c>
      <c r="F455">
        <f ca="1"/>
        <v>74.459999999999994</v>
      </c>
      <c r="G455">
        <f t="shared" ca="1" si="31"/>
        <v>3.0832378312801723E-3</v>
      </c>
      <c r="H455">
        <f t="shared" ca="1" si="30"/>
        <v>6.9176216871982789E-4</v>
      </c>
      <c r="I455">
        <f ca="1"/>
        <v>1.7299999999999999E-2</v>
      </c>
      <c r="J455">
        <f ca="1"/>
        <v>33.970739999999999</v>
      </c>
    </row>
    <row r="456" spans="1:10" x14ac:dyDescent="0.25">
      <c r="A456" t="str">
        <v>2007-11-30</v>
      </c>
      <c r="B456">
        <f t="shared" ca="1" si="28"/>
        <v>107.8280690970147</v>
      </c>
      <c r="C456">
        <f ca="1"/>
        <v>210.834</v>
      </c>
      <c r="D456">
        <f ca="1"/>
        <v>4.1500000000000002E-2</v>
      </c>
      <c r="E456">
        <f t="shared" ca="1" si="29"/>
        <v>3.4583333333333337E-3</v>
      </c>
      <c r="F456">
        <f ca="1"/>
        <v>70.319999999999993</v>
      </c>
      <c r="G456">
        <f t="shared" ca="1" si="31"/>
        <v>7.858884267890387E-3</v>
      </c>
      <c r="H456">
        <f t="shared" ca="1" si="30"/>
        <v>-4.4005509345570529E-3</v>
      </c>
      <c r="I456">
        <f ca="1"/>
        <v>2.41E-2</v>
      </c>
      <c r="J456">
        <f ca="1"/>
        <v>34.080199999999998</v>
      </c>
    </row>
    <row r="457" spans="1:10" x14ac:dyDescent="0.25">
      <c r="A457" t="str">
        <v>2007-12-31</v>
      </c>
      <c r="B457">
        <f t="shared" ca="1" si="28"/>
        <v>101.18658932582943</v>
      </c>
      <c r="C457">
        <f ca="1"/>
        <v>211.44499999999999</v>
      </c>
      <c r="D457">
        <f ca="1"/>
        <v>4.1000000000000002E-2</v>
      </c>
      <c r="E457">
        <f t="shared" ca="1" si="29"/>
        <v>3.4166666666666668E-3</v>
      </c>
      <c r="F457">
        <f ca="1"/>
        <v>66.180000000000007</v>
      </c>
      <c r="G457">
        <f t="shared" ca="1" si="31"/>
        <v>2.8980145517325528E-3</v>
      </c>
      <c r="H457">
        <f t="shared" ca="1" si="30"/>
        <v>5.1865211493411396E-4</v>
      </c>
      <c r="I457">
        <f ca="1"/>
        <v>2.4299999999999999E-2</v>
      </c>
      <c r="J457">
        <f ca="1"/>
        <v>34.413339999999998</v>
      </c>
    </row>
    <row r="458" spans="1:10" x14ac:dyDescent="0.25">
      <c r="A458" t="str">
        <v>2008-01-31</v>
      </c>
      <c r="B458">
        <f t="shared" ca="1" si="28"/>
        <v>97.89817201919179</v>
      </c>
      <c r="C458">
        <f ca="1"/>
        <v>212.17400000000001</v>
      </c>
      <c r="D458">
        <f ca="1"/>
        <v>3.7400000000000003E-2</v>
      </c>
      <c r="E458">
        <f t="shared" ca="1" si="29"/>
        <v>3.1166666666666669E-3</v>
      </c>
      <c r="F458">
        <f ca="1"/>
        <v>64.25</v>
      </c>
      <c r="G458">
        <f t="shared" ca="1" si="31"/>
        <v>3.4477050769703421E-3</v>
      </c>
      <c r="H458">
        <f t="shared" ca="1" si="30"/>
        <v>-3.3103841030367523E-4</v>
      </c>
      <c r="I458">
        <f ca="1"/>
        <v>3.1300000000000001E-2</v>
      </c>
      <c r="J458">
        <f ca="1"/>
        <v>34.47775</v>
      </c>
    </row>
    <row r="459" spans="1:10" x14ac:dyDescent="0.25">
      <c r="A459" t="str">
        <v>2008-02-29</v>
      </c>
      <c r="B459">
        <f t="shared" ca="1" si="28"/>
        <v>94.728380766102291</v>
      </c>
      <c r="C459">
        <f ca="1"/>
        <v>212.68700000000001</v>
      </c>
      <c r="D459">
        <f ca="1"/>
        <v>3.7400000000000003E-2</v>
      </c>
      <c r="E459">
        <f t="shared" ca="1" si="29"/>
        <v>3.1166666666666669E-3</v>
      </c>
      <c r="F459">
        <f ca="1"/>
        <v>62.32</v>
      </c>
      <c r="G459">
        <f t="shared" ca="1" si="31"/>
        <v>2.4178268779397882E-3</v>
      </c>
      <c r="H459">
        <f t="shared" ca="1" si="30"/>
        <v>6.9883978872687866E-4</v>
      </c>
      <c r="I459">
        <f ca="1"/>
        <v>3.2300000000000002E-2</v>
      </c>
      <c r="J459">
        <f ca="1"/>
        <v>34.61186</v>
      </c>
    </row>
    <row r="460" spans="1:10" x14ac:dyDescent="0.25">
      <c r="A460" t="str">
        <v>2008-03-31</v>
      </c>
      <c r="B460">
        <f t="shared" ca="1" si="28"/>
        <v>91.467446356958135</v>
      </c>
      <c r="C460">
        <f ca="1"/>
        <v>213.44800000000001</v>
      </c>
      <c r="D460">
        <f ca="1"/>
        <v>3.5099999999999999E-2</v>
      </c>
      <c r="E460">
        <f t="shared" ca="1" si="29"/>
        <v>2.9250000000000001E-3</v>
      </c>
      <c r="F460">
        <f ca="1"/>
        <v>60.39</v>
      </c>
      <c r="G460">
        <f t="shared" ca="1" si="31"/>
        <v>3.578027806118822E-3</v>
      </c>
      <c r="H460">
        <f t="shared" ca="1" si="30"/>
        <v>-6.530278061188219E-4</v>
      </c>
      <c r="I460">
        <f ca="1"/>
        <v>3.6999999999999998E-2</v>
      </c>
      <c r="J460">
        <f ca="1"/>
        <v>34.54636</v>
      </c>
    </row>
    <row r="461" spans="1:10" x14ac:dyDescent="0.25">
      <c r="A461" t="str">
        <v>2008-04-30</v>
      </c>
      <c r="B461">
        <f t="shared" ca="1" si="28"/>
        <v>86.712820012106093</v>
      </c>
      <c r="C461">
        <f ca="1"/>
        <v>213.94200000000001</v>
      </c>
      <c r="D461">
        <f ca="1"/>
        <v>3.6799999999999999E-2</v>
      </c>
      <c r="E461">
        <f t="shared" ca="1" si="29"/>
        <v>3.0666666666666668E-3</v>
      </c>
      <c r="F461">
        <f ca="1"/>
        <v>57.383330000000001</v>
      </c>
      <c r="G461">
        <f t="shared" ca="1" si="31"/>
        <v>2.3143810202015391E-3</v>
      </c>
      <c r="H461">
        <f t="shared" ca="1" si="30"/>
        <v>7.5228564646512763E-4</v>
      </c>
      <c r="I461">
        <f ca="1"/>
        <v>3.4299999999999997E-2</v>
      </c>
      <c r="J461">
        <f ca="1"/>
        <v>34.503929999999997</v>
      </c>
    </row>
    <row r="462" spans="1:10" x14ac:dyDescent="0.25">
      <c r="A462" t="str">
        <v>2008-05-31</v>
      </c>
      <c r="B462">
        <f t="shared" ca="1" si="28"/>
        <v>81.686034073872719</v>
      </c>
      <c r="C462">
        <f ca="1"/>
        <v>215.208</v>
      </c>
      <c r="D462">
        <f ca="1"/>
        <v>3.8800000000000001E-2</v>
      </c>
      <c r="E462">
        <f t="shared" ca="1" si="29"/>
        <v>3.2333333333333333E-3</v>
      </c>
      <c r="F462">
        <f ca="1"/>
        <v>54.376669999999997</v>
      </c>
      <c r="G462">
        <f t="shared" ca="1" si="31"/>
        <v>5.9174916566171465E-3</v>
      </c>
      <c r="H462">
        <f t="shared" ca="1" si="30"/>
        <v>-2.6841583232838132E-3</v>
      </c>
      <c r="I462">
        <f ca="1"/>
        <v>3.2399999999999998E-2</v>
      </c>
      <c r="J462">
        <f ca="1"/>
        <v>34.380240000000001</v>
      </c>
    </row>
    <row r="463" spans="1:10" x14ac:dyDescent="0.25">
      <c r="A463" t="str">
        <v>2008-06-30</v>
      </c>
      <c r="B463">
        <f t="shared" ca="1" si="28"/>
        <v>76.369123345120784</v>
      </c>
      <c r="C463">
        <f ca="1"/>
        <v>217.46299999999999</v>
      </c>
      <c r="D463">
        <f ca="1"/>
        <v>4.1000000000000002E-2</v>
      </c>
      <c r="E463">
        <f t="shared" ca="1" si="29"/>
        <v>3.4166666666666668E-3</v>
      </c>
      <c r="F463">
        <f ca="1"/>
        <v>51.37</v>
      </c>
      <c r="G463">
        <f t="shared" ca="1" si="31"/>
        <v>1.04782350098509E-2</v>
      </c>
      <c r="H463">
        <f t="shared" ca="1" si="30"/>
        <v>-7.0615683431842335E-3</v>
      </c>
      <c r="I463">
        <f ca="1"/>
        <v>3.3500000000000002E-2</v>
      </c>
      <c r="J463">
        <f ca="1"/>
        <v>34.200049999999997</v>
      </c>
    </row>
    <row r="464" spans="1:10" x14ac:dyDescent="0.25">
      <c r="A464" t="str">
        <v>2008-07-31</v>
      </c>
      <c r="B464">
        <f t="shared" ca="1" si="28"/>
        <v>73.16076688018228</v>
      </c>
      <c r="C464">
        <f ca="1"/>
        <v>219.01599999999999</v>
      </c>
      <c r="D464">
        <f ca="1"/>
        <v>4.0099999999999997E-2</v>
      </c>
      <c r="E464">
        <f t="shared" ca="1" si="29"/>
        <v>3.3416666666666664E-3</v>
      </c>
      <c r="F464">
        <f ca="1"/>
        <v>49.563330000000001</v>
      </c>
      <c r="G464">
        <f t="shared" ca="1" si="31"/>
        <v>7.1414447515210089E-3</v>
      </c>
      <c r="H464">
        <f t="shared" ca="1" si="30"/>
        <v>-3.7997780848543425E-3</v>
      </c>
      <c r="I464">
        <f ca="1"/>
        <v>3.7999999999999999E-2</v>
      </c>
      <c r="J464">
        <f ca="1"/>
        <v>34.076700000000002</v>
      </c>
    </row>
    <row r="465" spans="1:10" x14ac:dyDescent="0.25">
      <c r="A465" t="str">
        <v>2008-08-31</v>
      </c>
      <c r="B465">
        <f t="shared" ca="1" si="28"/>
        <v>70.599028766610274</v>
      </c>
      <c r="C465">
        <f ca="1"/>
        <v>218.69</v>
      </c>
      <c r="D465">
        <f ca="1"/>
        <v>3.8899999999999997E-2</v>
      </c>
      <c r="E465">
        <f t="shared" ca="1" si="29"/>
        <v>3.2416666666666666E-3</v>
      </c>
      <c r="F465">
        <f ca="1"/>
        <v>47.75667</v>
      </c>
      <c r="G465">
        <f t="shared" ca="1" si="31"/>
        <v>-1.4884757278006422E-3</v>
      </c>
      <c r="H465">
        <f t="shared" ca="1" si="30"/>
        <v>4.7301423944673092E-3</v>
      </c>
      <c r="I465">
        <f ca="1"/>
        <v>3.7600000000000001E-2</v>
      </c>
      <c r="J465">
        <f ca="1"/>
        <v>34.268790000000003</v>
      </c>
    </row>
    <row r="466" spans="1:10" x14ac:dyDescent="0.25">
      <c r="A466" t="str">
        <v>2008-09-30</v>
      </c>
      <c r="B466">
        <f t="shared" ca="1" si="28"/>
        <v>67.87018028390375</v>
      </c>
      <c r="C466">
        <f ca="1"/>
        <v>218.87700000000001</v>
      </c>
      <c r="D466">
        <f ca="1"/>
        <v>3.6900000000000002E-2</v>
      </c>
      <c r="E466">
        <f t="shared" ca="1" si="29"/>
        <v>3.075E-3</v>
      </c>
      <c r="F466">
        <f ca="1"/>
        <v>45.95</v>
      </c>
      <c r="G466">
        <f t="shared" ca="1" si="31"/>
        <v>8.550916822900323E-4</v>
      </c>
      <c r="H466">
        <f t="shared" ca="1" si="30"/>
        <v>2.2199083177099677E-3</v>
      </c>
      <c r="I466">
        <f ca="1"/>
        <v>4.1700000000000001E-2</v>
      </c>
      <c r="J466">
        <f ca="1"/>
        <v>34.371850000000002</v>
      </c>
    </row>
    <row r="467" spans="1:10" x14ac:dyDescent="0.25">
      <c r="A467" t="str">
        <v>2008-10-31</v>
      </c>
      <c r="B467">
        <f t="shared" ca="1" si="28"/>
        <v>53.028886605820411</v>
      </c>
      <c r="C467">
        <f ca="1"/>
        <v>216.995</v>
      </c>
      <c r="D467">
        <f ca="1"/>
        <v>3.8100000000000002E-2</v>
      </c>
      <c r="E467">
        <f t="shared" ca="1" si="29"/>
        <v>3.1750000000000003E-3</v>
      </c>
      <c r="F467">
        <f ca="1"/>
        <v>35.593330000000002</v>
      </c>
      <c r="G467">
        <f t="shared" ca="1" si="31"/>
        <v>-8.5984365648286154E-3</v>
      </c>
      <c r="H467">
        <f t="shared" ca="1" si="30"/>
        <v>1.1773436564828616E-2</v>
      </c>
      <c r="I467">
        <f ca="1"/>
        <v>5.11E-2</v>
      </c>
      <c r="J467">
        <f ca="1"/>
        <v>34.538049999999998</v>
      </c>
    </row>
    <row r="468" spans="1:10" x14ac:dyDescent="0.25">
      <c r="A468" t="str">
        <v>2008-11-30</v>
      </c>
      <c r="B468">
        <f t="shared" ca="1" si="28"/>
        <v>38.276675819575615</v>
      </c>
      <c r="C468">
        <f ca="1"/>
        <v>213.15299999999999</v>
      </c>
      <c r="D468">
        <f ca="1"/>
        <v>3.5299999999999998E-2</v>
      </c>
      <c r="E468">
        <f t="shared" ca="1" si="29"/>
        <v>2.9416666666666666E-3</v>
      </c>
      <c r="F468">
        <f ca="1"/>
        <v>25.23667</v>
      </c>
      <c r="G468">
        <f t="shared" ca="1" si="31"/>
        <v>-1.7705477084725474E-2</v>
      </c>
      <c r="H468">
        <f t="shared" ca="1" si="30"/>
        <v>2.0647143751392139E-2</v>
      </c>
      <c r="I468">
        <f ca="1"/>
        <v>5.6399999999999999E-2</v>
      </c>
      <c r="J468">
        <f ca="1"/>
        <v>35.024320000000003</v>
      </c>
    </row>
    <row r="469" spans="1:10" x14ac:dyDescent="0.25">
      <c r="A469" t="str">
        <v>2008-12-31</v>
      </c>
      <c r="B469">
        <f t="shared" ca="1" si="28"/>
        <v>22.755986716998272</v>
      </c>
      <c r="C469">
        <f ca="1"/>
        <v>211.398</v>
      </c>
      <c r="D469">
        <f ca="1"/>
        <v>2.4199999999999999E-2</v>
      </c>
      <c r="E469">
        <f t="shared" ca="1" si="29"/>
        <v>2.0166666666666666E-3</v>
      </c>
      <c r="F469">
        <f ca="1"/>
        <v>14.88</v>
      </c>
      <c r="G469">
        <f t="shared" ca="1" si="31"/>
        <v>-8.2335223994032258E-3</v>
      </c>
      <c r="H469">
        <f t="shared" ca="1" si="30"/>
        <v>1.0250189066069892E-2</v>
      </c>
      <c r="I469">
        <f ca="1"/>
        <v>6.6000000000000003E-2</v>
      </c>
      <c r="J469">
        <f ca="1"/>
        <v>35.200229999999998</v>
      </c>
    </row>
    <row r="470" spans="1:10" x14ac:dyDescent="0.25">
      <c r="A470" t="str">
        <v>2009-01-31</v>
      </c>
      <c r="B470">
        <f t="shared" ca="1" si="28"/>
        <v>18.620538335087033</v>
      </c>
      <c r="C470">
        <f ca="1"/>
        <v>211.93299999999999</v>
      </c>
      <c r="D470">
        <f ca="1"/>
        <v>2.52E-2</v>
      </c>
      <c r="E470">
        <f t="shared" ca="1" si="29"/>
        <v>2.0999999999999999E-3</v>
      </c>
      <c r="F470">
        <f ca="1"/>
        <v>12.206670000000001</v>
      </c>
      <c r="G470">
        <f t="shared" ca="1" si="31"/>
        <v>2.5307713412614508E-3</v>
      </c>
      <c r="H470">
        <f t="shared" ca="1" si="30"/>
        <v>-4.3077134126145089E-4</v>
      </c>
      <c r="I470">
        <f ca="1"/>
        <v>6.6100000000000006E-2</v>
      </c>
      <c r="J470">
        <f ca="1"/>
        <v>34.582689999999999</v>
      </c>
    </row>
    <row r="471" spans="1:10" x14ac:dyDescent="0.25">
      <c r="A471" t="str">
        <v>2009-02-28</v>
      </c>
      <c r="B471">
        <f t="shared" ca="1" si="28"/>
        <v>14.489738318469239</v>
      </c>
      <c r="C471">
        <f ca="1"/>
        <v>212.70500000000001</v>
      </c>
      <c r="D471">
        <f ca="1"/>
        <v>2.87E-2</v>
      </c>
      <c r="E471">
        <f t="shared" ca="1" si="29"/>
        <v>2.3916666666666665E-3</v>
      </c>
      <c r="F471">
        <f ca="1"/>
        <v>9.5333299999999994</v>
      </c>
      <c r="G471">
        <f t="shared" ca="1" si="31"/>
        <v>3.6426606521873239E-3</v>
      </c>
      <c r="H471">
        <f t="shared" ca="1" si="30"/>
        <v>-1.2509939855206574E-3</v>
      </c>
      <c r="I471">
        <f ca="1"/>
        <v>6.7900000000000002E-2</v>
      </c>
      <c r="J471">
        <f ca="1"/>
        <v>33.948860000000003</v>
      </c>
    </row>
    <row r="472" spans="1:10" x14ac:dyDescent="0.25">
      <c r="A472" t="str">
        <v>2009-03-31</v>
      </c>
      <c r="B472">
        <f t="shared" ca="1" si="28"/>
        <v>10.436839737405586</v>
      </c>
      <c r="C472">
        <f ca="1"/>
        <v>212.495</v>
      </c>
      <c r="D472">
        <f ca="1"/>
        <v>2.8199999999999999E-2</v>
      </c>
      <c r="E472">
        <f t="shared" ca="1" si="29"/>
        <v>2.3500000000000001E-3</v>
      </c>
      <c r="F472">
        <f ca="1"/>
        <v>6.86</v>
      </c>
      <c r="G472">
        <f t="shared" ca="1" si="31"/>
        <v>-9.8728285653848502E-4</v>
      </c>
      <c r="H472">
        <f t="shared" ca="1" si="30"/>
        <v>3.3372828565384851E-3</v>
      </c>
      <c r="I472">
        <f ca="1"/>
        <v>7.2599999999999998E-2</v>
      </c>
      <c r="J472">
        <f ca="1"/>
        <v>33.40493</v>
      </c>
    </row>
    <row r="473" spans="1:10" x14ac:dyDescent="0.25">
      <c r="A473" t="str">
        <v>2009-04-30</v>
      </c>
      <c r="B473">
        <f t="shared" ca="1" si="28"/>
        <v>10.755650776271809</v>
      </c>
      <c r="C473">
        <f ca="1"/>
        <v>212.709</v>
      </c>
      <c r="D473">
        <f ca="1"/>
        <v>2.93E-2</v>
      </c>
      <c r="E473">
        <f t="shared" ca="1" si="29"/>
        <v>2.4416666666666666E-3</v>
      </c>
      <c r="F473">
        <f ca="1"/>
        <v>7.07667</v>
      </c>
      <c r="G473">
        <f t="shared" ca="1" si="31"/>
        <v>1.0070825195886979E-3</v>
      </c>
      <c r="H473">
        <f t="shared" ca="1" si="30"/>
        <v>1.4345841470779688E-3</v>
      </c>
      <c r="I473">
        <f ca="1"/>
        <v>6.2700000000000006E-2</v>
      </c>
      <c r="J473">
        <f ca="1"/>
        <v>32.641300000000001</v>
      </c>
    </row>
    <row r="474" spans="1:10" x14ac:dyDescent="0.25">
      <c r="A474" t="str">
        <v>2009-05-31</v>
      </c>
      <c r="B474">
        <f t="shared" ca="1" si="28"/>
        <v>11.068659335796303</v>
      </c>
      <c r="C474">
        <f ca="1"/>
        <v>213.02199999999999</v>
      </c>
      <c r="D474">
        <f ca="1"/>
        <v>3.2899999999999999E-2</v>
      </c>
      <c r="E474">
        <f t="shared" ca="1" si="29"/>
        <v>2.7416666666666666E-3</v>
      </c>
      <c r="F474">
        <f ca="1"/>
        <v>7.2933300000000001</v>
      </c>
      <c r="G474">
        <f t="shared" ca="1" si="31"/>
        <v>1.4714939189219844E-3</v>
      </c>
      <c r="H474">
        <f t="shared" ca="1" si="30"/>
        <v>1.2701727477446821E-3</v>
      </c>
      <c r="I474">
        <f ca="1"/>
        <v>5.5100000000000003E-2</v>
      </c>
      <c r="J474">
        <f ca="1"/>
        <v>31.868790000000001</v>
      </c>
    </row>
    <row r="475" spans="1:10" x14ac:dyDescent="0.25">
      <c r="A475" t="str">
        <v>2009-06-30</v>
      </c>
      <c r="B475">
        <f t="shared" ca="1" si="28"/>
        <v>11.303670608501328</v>
      </c>
      <c r="C475">
        <f ca="1"/>
        <v>214.79</v>
      </c>
      <c r="D475">
        <f ca="1"/>
        <v>3.7199999999999997E-2</v>
      </c>
      <c r="E475">
        <f t="shared" ca="1" si="29"/>
        <v>3.0999999999999999E-3</v>
      </c>
      <c r="F475">
        <f ca="1"/>
        <v>7.51</v>
      </c>
      <c r="G475">
        <f t="shared" ca="1" si="31"/>
        <v>8.2996122466223454E-3</v>
      </c>
      <c r="H475">
        <f t="shared" ca="1" si="30"/>
        <v>-5.1996122466223451E-3</v>
      </c>
      <c r="I475">
        <f ca="1"/>
        <v>5.0200000000000002E-2</v>
      </c>
      <c r="J475">
        <f ca="1"/>
        <v>30.924659999999999</v>
      </c>
    </row>
    <row r="476" spans="1:10" x14ac:dyDescent="0.25">
      <c r="A476" t="str">
        <v>2009-07-31</v>
      </c>
      <c r="B476">
        <f t="shared" ca="1" si="28"/>
        <v>13.831430432132111</v>
      </c>
      <c r="C476">
        <f ca="1"/>
        <v>214.726</v>
      </c>
      <c r="D476">
        <f ca="1"/>
        <v>3.56E-2</v>
      </c>
      <c r="E476">
        <f t="shared" ca="1" si="29"/>
        <v>2.9666666666666665E-3</v>
      </c>
      <c r="F476">
        <f ca="1"/>
        <v>9.1866699999999994</v>
      </c>
      <c r="G476">
        <f t="shared" ca="1" si="31"/>
        <v>-2.9796545463012247E-4</v>
      </c>
      <c r="H476">
        <f t="shared" ca="1" si="30"/>
        <v>3.264632121296789E-3</v>
      </c>
      <c r="I476">
        <f ca="1"/>
        <v>5.0200000000000002E-2</v>
      </c>
      <c r="J476">
        <f ca="1"/>
        <v>30.291920000000001</v>
      </c>
    </row>
    <row r="477" spans="1:10" x14ac:dyDescent="0.25">
      <c r="A477" t="str">
        <v>2009-08-31</v>
      </c>
      <c r="B477">
        <f t="shared" ca="1" si="28"/>
        <v>16.301222209983987</v>
      </c>
      <c r="C477">
        <f ca="1"/>
        <v>215.44499999999999</v>
      </c>
      <c r="D477">
        <f ca="1"/>
        <v>3.5900000000000001E-2</v>
      </c>
      <c r="E477">
        <f t="shared" ca="1" si="29"/>
        <v>2.9916666666666668E-3</v>
      </c>
      <c r="F477">
        <f ca="1"/>
        <v>10.863329999999999</v>
      </c>
      <c r="G477">
        <f t="shared" ca="1" si="31"/>
        <v>3.3484533777929926E-3</v>
      </c>
      <c r="H477">
        <f t="shared" ca="1" si="30"/>
        <v>-3.5678671112632579E-4</v>
      </c>
      <c r="I477">
        <f ca="1"/>
        <v>4.53E-2</v>
      </c>
      <c r="J477">
        <f ca="1"/>
        <v>29.543800000000001</v>
      </c>
    </row>
    <row r="478" spans="1:10" x14ac:dyDescent="0.25">
      <c r="A478" t="str">
        <v>2009-09-30</v>
      </c>
      <c r="B478">
        <f t="shared" ca="1" si="28"/>
        <v>18.78092448381134</v>
      </c>
      <c r="C478">
        <f ca="1"/>
        <v>215.86099999999999</v>
      </c>
      <c r="D478">
        <f ca="1"/>
        <v>3.4000000000000002E-2</v>
      </c>
      <c r="E478">
        <f t="shared" ca="1" si="29"/>
        <v>2.8333333333333335E-3</v>
      </c>
      <c r="F478">
        <f ca="1"/>
        <v>12.54</v>
      </c>
      <c r="G478">
        <f t="shared" ca="1" si="31"/>
        <v>1.9308872334005134E-3</v>
      </c>
      <c r="H478">
        <f t="shared" ca="1" si="30"/>
        <v>9.0244609993282016E-4</v>
      </c>
      <c r="I478">
        <f ca="1"/>
        <v>4.4600000000000001E-2</v>
      </c>
      <c r="J478">
        <f ca="1"/>
        <v>28.84544</v>
      </c>
    </row>
    <row r="479" spans="1:10" x14ac:dyDescent="0.25">
      <c r="A479" t="str">
        <v>2009-10-31</v>
      </c>
      <c r="B479">
        <f t="shared" ca="1" si="28"/>
        <v>37.852592040053764</v>
      </c>
      <c r="C479">
        <f ca="1"/>
        <v>216.50899999999999</v>
      </c>
      <c r="D479">
        <f ca="1"/>
        <v>3.39E-2</v>
      </c>
      <c r="E479">
        <f t="shared" ca="1" si="29"/>
        <v>2.8249999999999998E-3</v>
      </c>
      <c r="F479">
        <f ca="1"/>
        <v>25.35</v>
      </c>
      <c r="G479">
        <f t="shared" ca="1" si="31"/>
        <v>3.001931798703783E-3</v>
      </c>
      <c r="H479">
        <f t="shared" ca="1" si="30"/>
        <v>-1.769317987037832E-4</v>
      </c>
      <c r="I479">
        <f ca="1"/>
        <v>4.3200000000000002E-2</v>
      </c>
      <c r="J479">
        <f ca="1"/>
        <v>28.218820000000001</v>
      </c>
    </row>
    <row r="480" spans="1:10" x14ac:dyDescent="0.25">
      <c r="A480" t="str">
        <v>2009-11-30</v>
      </c>
      <c r="B480">
        <f t="shared" ca="1" si="28"/>
        <v>56.790302438844741</v>
      </c>
      <c r="C480">
        <f ca="1"/>
        <v>217.23400000000001</v>
      </c>
      <c r="D480">
        <f ca="1"/>
        <v>3.4000000000000002E-2</v>
      </c>
      <c r="E480">
        <f t="shared" ca="1" si="29"/>
        <v>2.8333333333333335E-3</v>
      </c>
      <c r="F480">
        <f ca="1"/>
        <v>38.159999999999997</v>
      </c>
      <c r="G480">
        <f t="shared" ca="1" si="31"/>
        <v>3.3485905897676638E-3</v>
      </c>
      <c r="H480">
        <f t="shared" ca="1" si="30"/>
        <v>-5.1525725643433024E-4</v>
      </c>
      <c r="I480">
        <f ca="1"/>
        <v>4.19E-2</v>
      </c>
      <c r="J480">
        <f ca="1"/>
        <v>27.600429999999999</v>
      </c>
    </row>
    <row r="481" spans="1:10" x14ac:dyDescent="0.25">
      <c r="A481" t="str">
        <v>2009-12-31</v>
      </c>
      <c r="B481">
        <f t="shared" ca="1" si="28"/>
        <v>75.814905519744926</v>
      </c>
      <c r="C481">
        <f ca="1"/>
        <v>217.34700000000001</v>
      </c>
      <c r="D481">
        <f ca="1"/>
        <v>3.5900000000000001E-2</v>
      </c>
      <c r="E481">
        <f t="shared" ca="1" si="29"/>
        <v>2.9916666666666668E-3</v>
      </c>
      <c r="F481">
        <f ca="1"/>
        <v>50.97</v>
      </c>
      <c r="G481">
        <f t="shared" ca="1" si="31"/>
        <v>5.2017639964274665E-4</v>
      </c>
      <c r="H481">
        <f t="shared" ca="1" si="30"/>
        <v>2.4714902670239201E-3</v>
      </c>
      <c r="I481">
        <f ca="1"/>
        <v>3.85E-2</v>
      </c>
      <c r="J481">
        <f ca="1"/>
        <v>27.049630000000001</v>
      </c>
    </row>
    <row r="482" spans="1:10" x14ac:dyDescent="0.25">
      <c r="A482" t="str">
        <v>2010-01-31</v>
      </c>
      <c r="B482">
        <f t="shared" ca="1" si="28"/>
        <v>80.70085885198263</v>
      </c>
      <c r="C482">
        <f ca="1"/>
        <v>217.488</v>
      </c>
      <c r="D482">
        <f ca="1"/>
        <v>3.73E-2</v>
      </c>
      <c r="E482">
        <f t="shared" ca="1" si="29"/>
        <v>3.1083333333333332E-3</v>
      </c>
      <c r="F482">
        <f ca="1"/>
        <v>54.29</v>
      </c>
      <c r="G482">
        <f t="shared" ca="1" si="31"/>
        <v>6.4873221162464745E-4</v>
      </c>
      <c r="H482">
        <f t="shared" ca="1" si="30"/>
        <v>2.4596011217086857E-3</v>
      </c>
      <c r="I482">
        <f ca="1"/>
        <v>3.6700000000000003E-2</v>
      </c>
      <c r="J482">
        <f ca="1"/>
        <v>26.753</v>
      </c>
    </row>
    <row r="483" spans="1:10" x14ac:dyDescent="0.25">
      <c r="A483" t="str">
        <v>2010-02-28</v>
      </c>
      <c r="B483">
        <f t="shared" ca="1" si="28"/>
        <v>85.717547829768819</v>
      </c>
      <c r="C483">
        <f ca="1"/>
        <v>217.28100000000001</v>
      </c>
      <c r="D483">
        <f ca="1"/>
        <v>3.6900000000000002E-2</v>
      </c>
      <c r="E483">
        <f t="shared" ca="1" si="29"/>
        <v>3.075E-3</v>
      </c>
      <c r="F483">
        <f ca="1"/>
        <v>57.61</v>
      </c>
      <c r="G483">
        <f t="shared" ca="1" si="31"/>
        <v>-9.5177664974621656E-4</v>
      </c>
      <c r="H483">
        <f t="shared" ca="1" si="30"/>
        <v>4.0267766497462162E-3</v>
      </c>
      <c r="I483">
        <f ca="1"/>
        <v>3.7999999999999999E-2</v>
      </c>
      <c r="J483">
        <f ca="1"/>
        <v>26.541889999999999</v>
      </c>
    </row>
    <row r="484" spans="1:10" x14ac:dyDescent="0.25">
      <c r="A484" t="str">
        <v>2010-03-31</v>
      </c>
      <c r="B484">
        <f t="shared" ca="1" si="28"/>
        <v>90.627323432388792</v>
      </c>
      <c r="C484">
        <f ca="1"/>
        <v>217.35300000000001</v>
      </c>
      <c r="D484">
        <f ca="1"/>
        <v>3.73E-2</v>
      </c>
      <c r="E484">
        <f t="shared" ca="1" si="29"/>
        <v>3.1083333333333332E-3</v>
      </c>
      <c r="F484">
        <f ca="1"/>
        <v>60.93</v>
      </c>
      <c r="G484">
        <f t="shared" ca="1" si="31"/>
        <v>3.3136813619227823E-4</v>
      </c>
      <c r="H484">
        <f t="shared" ca="1" si="30"/>
        <v>2.7769651971410549E-3</v>
      </c>
      <c r="I484">
        <f ca="1"/>
        <v>3.4599999999999999E-2</v>
      </c>
      <c r="J484">
        <f ca="1"/>
        <v>26.22974</v>
      </c>
    </row>
    <row r="485" spans="1:10" x14ac:dyDescent="0.25">
      <c r="A485" t="str">
        <v>2010-04-30</v>
      </c>
      <c r="B485">
        <f t="shared" ca="1" si="28"/>
        <v>93.664869072505908</v>
      </c>
      <c r="C485">
        <f ca="1"/>
        <v>217.40299999999999</v>
      </c>
      <c r="D485">
        <f ca="1"/>
        <v>3.85E-2</v>
      </c>
      <c r="E485">
        <f t="shared" ca="1" si="29"/>
        <v>3.2083333333333334E-3</v>
      </c>
      <c r="F485">
        <f ca="1"/>
        <v>62.986669999999997</v>
      </c>
      <c r="G485">
        <f t="shared" ca="1" si="31"/>
        <v>2.3004053314190642E-4</v>
      </c>
      <c r="H485">
        <f t="shared" ca="1" si="30"/>
        <v>2.978292800191427E-3</v>
      </c>
      <c r="I485">
        <f ca="1"/>
        <v>3.1800000000000002E-2</v>
      </c>
      <c r="J485">
        <f ca="1"/>
        <v>26.24006</v>
      </c>
    </row>
    <row r="486" spans="1:10" x14ac:dyDescent="0.25">
      <c r="A486" t="str">
        <v>2010-05-31</v>
      </c>
      <c r="B486">
        <f t="shared" ca="1" si="28"/>
        <v>96.773543186662991</v>
      </c>
      <c r="C486">
        <f ca="1"/>
        <v>217.29</v>
      </c>
      <c r="D486">
        <f ca="1"/>
        <v>3.4200000000000001E-2</v>
      </c>
      <c r="E486">
        <f t="shared" ca="1" si="29"/>
        <v>2.8500000000000001E-3</v>
      </c>
      <c r="F486">
        <f ca="1"/>
        <v>65.043329999999997</v>
      </c>
      <c r="G486">
        <f t="shared" ca="1" si="31"/>
        <v>-5.1977203626440982E-4</v>
      </c>
      <c r="H486">
        <f t="shared" ca="1" si="30"/>
        <v>3.3697720362644099E-3</v>
      </c>
      <c r="I486">
        <f ca="1"/>
        <v>3.9E-2</v>
      </c>
      <c r="J486">
        <f ca="1"/>
        <v>26.275490000000001</v>
      </c>
    </row>
    <row r="487" spans="1:10" x14ac:dyDescent="0.25">
      <c r="A487" t="str">
        <v>2010-06-30</v>
      </c>
      <c r="B487">
        <f t="shared" ca="1" si="28"/>
        <v>99.875349794428132</v>
      </c>
      <c r="C487">
        <f ca="1"/>
        <v>217.19900000000001</v>
      </c>
      <c r="D487">
        <f ca="1"/>
        <v>3.2000000000000001E-2</v>
      </c>
      <c r="E487">
        <f t="shared" ca="1" si="29"/>
        <v>2.6666666666666666E-3</v>
      </c>
      <c r="F487">
        <f ca="1"/>
        <v>67.099999999999994</v>
      </c>
      <c r="G487">
        <f t="shared" ca="1" si="31"/>
        <v>-4.1879515854381655E-4</v>
      </c>
      <c r="H487">
        <f t="shared" ca="1" si="30"/>
        <v>3.0854618252104831E-3</v>
      </c>
      <c r="I487">
        <f ca="1"/>
        <v>4.24E-2</v>
      </c>
      <c r="J487">
        <f ca="1"/>
        <v>26.35697</v>
      </c>
    </row>
    <row r="488" spans="1:10" x14ac:dyDescent="0.25">
      <c r="A488" t="str">
        <v>2010-07-31</v>
      </c>
      <c r="B488">
        <f t="shared" ca="1" si="28"/>
        <v>102.04628676257441</v>
      </c>
      <c r="C488">
        <f ca="1"/>
        <v>217.60499999999999</v>
      </c>
      <c r="D488">
        <f ca="1"/>
        <v>3.0099999999999998E-2</v>
      </c>
      <c r="E488">
        <f t="shared" ca="1" si="29"/>
        <v>2.5083333333333333E-3</v>
      </c>
      <c r="F488">
        <f ca="1"/>
        <v>68.686670000000007</v>
      </c>
      <c r="G488">
        <f t="shared" ca="1" si="31"/>
        <v>1.8692535416828804E-3</v>
      </c>
      <c r="H488">
        <f t="shared" ca="1" si="30"/>
        <v>6.3907979165045295E-4</v>
      </c>
      <c r="I488">
        <f ca="1"/>
        <v>4.4299999999999999E-2</v>
      </c>
      <c r="J488">
        <f ca="1"/>
        <v>26.474959999999999</v>
      </c>
    </row>
    <row r="489" spans="1:10" x14ac:dyDescent="0.25">
      <c r="A489" t="str">
        <v>2010-08-31</v>
      </c>
      <c r="B489">
        <f t="shared" ca="1" si="28"/>
        <v>104.25120399879773</v>
      </c>
      <c r="C489">
        <f ca="1"/>
        <v>217.923</v>
      </c>
      <c r="D489">
        <f ca="1"/>
        <v>2.7E-2</v>
      </c>
      <c r="E489">
        <f t="shared" ca="1" si="29"/>
        <v>2.2499999999999998E-3</v>
      </c>
      <c r="F489">
        <f ca="1"/>
        <v>70.273330000000001</v>
      </c>
      <c r="G489">
        <f t="shared" ca="1" si="31"/>
        <v>1.4613634796996067E-3</v>
      </c>
      <c r="H489">
        <f t="shared" ca="1" si="30"/>
        <v>7.8863652030039316E-4</v>
      </c>
      <c r="I489">
        <f ca="1"/>
        <v>4.7199999999999999E-2</v>
      </c>
      <c r="J489">
        <f ca="1"/>
        <v>26.56183</v>
      </c>
    </row>
    <row r="490" spans="1:10" x14ac:dyDescent="0.25">
      <c r="A490" t="str">
        <v>2010-09-30</v>
      </c>
      <c r="B490">
        <f t="shared" ca="1" si="28"/>
        <v>106.43312912610239</v>
      </c>
      <c r="C490">
        <f ca="1"/>
        <v>218.27500000000001</v>
      </c>
      <c r="D490">
        <f ca="1"/>
        <v>2.6499999999999999E-2</v>
      </c>
      <c r="E490">
        <f t="shared" ca="1" si="29"/>
        <v>2.2083333333333334E-3</v>
      </c>
      <c r="F490">
        <f ca="1"/>
        <v>71.86</v>
      </c>
      <c r="G490">
        <f t="shared" ca="1" si="31"/>
        <v>1.6152494229613179E-3</v>
      </c>
      <c r="H490">
        <f t="shared" ca="1" si="30"/>
        <v>5.9308391037201551E-4</v>
      </c>
      <c r="I490">
        <f ca="1"/>
        <v>4.5699999999999998E-2</v>
      </c>
      <c r="J490">
        <f ca="1"/>
        <v>26.669689999999999</v>
      </c>
    </row>
    <row r="491" spans="1:10" x14ac:dyDescent="0.25">
      <c r="A491" t="str">
        <v>2010-10-31</v>
      </c>
      <c r="B491">
        <f t="shared" ca="1" si="28"/>
        <v>108.76487223503094</v>
      </c>
      <c r="C491">
        <f ca="1"/>
        <v>219.035</v>
      </c>
      <c r="D491">
        <f ca="1"/>
        <v>2.5399999999999999E-2</v>
      </c>
      <c r="E491">
        <f t="shared" ca="1" si="29"/>
        <v>2.1166666666666664E-3</v>
      </c>
      <c r="F491">
        <f ca="1"/>
        <v>73.69</v>
      </c>
      <c r="G491">
        <f t="shared" ca="1" si="31"/>
        <v>3.4818462948116302E-3</v>
      </c>
      <c r="H491">
        <f t="shared" ca="1" si="30"/>
        <v>-1.3651796281449638E-3</v>
      </c>
      <c r="I491">
        <f ca="1"/>
        <v>4.48E-2</v>
      </c>
      <c r="J491">
        <f ca="1"/>
        <v>26.787479999999999</v>
      </c>
    </row>
    <row r="492" spans="1:10" x14ac:dyDescent="0.25">
      <c r="A492" t="str">
        <v>2010-11-30</v>
      </c>
      <c r="B492">
        <f t="shared" ca="1" si="28"/>
        <v>111.18419017259437</v>
      </c>
      <c r="C492">
        <f ca="1"/>
        <v>219.59</v>
      </c>
      <c r="D492">
        <f ca="1"/>
        <v>2.76E-2</v>
      </c>
      <c r="E492">
        <f t="shared" ca="1" si="29"/>
        <v>2.3E-3</v>
      </c>
      <c r="F492">
        <f ca="1"/>
        <v>75.52</v>
      </c>
      <c r="G492">
        <f t="shared" ca="1" si="31"/>
        <v>2.5338416234848005E-3</v>
      </c>
      <c r="H492">
        <f t="shared" ca="1" si="30"/>
        <v>-2.338416234848005E-4</v>
      </c>
      <c r="I492">
        <f ca="1"/>
        <v>4.1599999999999998E-2</v>
      </c>
      <c r="J492">
        <f ca="1"/>
        <v>26.927119999999999</v>
      </c>
    </row>
    <row r="493" spans="1:10" x14ac:dyDescent="0.25">
      <c r="A493" t="str">
        <v>2010-12-31</v>
      </c>
      <c r="B493">
        <f t="shared" ca="1" si="28"/>
        <v>113.42283305816611</v>
      </c>
      <c r="C493">
        <f ca="1"/>
        <v>220.47200000000001</v>
      </c>
      <c r="D493">
        <f ca="1"/>
        <v>3.2899999999999999E-2</v>
      </c>
      <c r="E493">
        <f t="shared" ca="1" si="29"/>
        <v>2.7416666666666666E-3</v>
      </c>
      <c r="F493">
        <f ca="1"/>
        <v>77.349999999999994</v>
      </c>
      <c r="G493">
        <f t="shared" ca="1" si="31"/>
        <v>4.0165763468282822E-3</v>
      </c>
      <c r="H493">
        <f t="shared" ca="1" si="30"/>
        <v>-1.2749096801616157E-3</v>
      </c>
      <c r="I493">
        <f ca="1"/>
        <v>3.5099999999999999E-2</v>
      </c>
      <c r="J493">
        <f ca="1"/>
        <v>27.031559999999999</v>
      </c>
    </row>
    <row r="494" spans="1:10" x14ac:dyDescent="0.25">
      <c r="A494" t="str">
        <v>2011-01-31</v>
      </c>
      <c r="B494">
        <f t="shared" ca="1" si="28"/>
        <v>114.98552342587945</v>
      </c>
      <c r="C494">
        <f ca="1"/>
        <v>221.18700000000001</v>
      </c>
      <c r="D494">
        <f ca="1"/>
        <v>3.39E-2</v>
      </c>
      <c r="E494">
        <f t="shared" ca="1" si="29"/>
        <v>2.8249999999999998E-3</v>
      </c>
      <c r="F494">
        <f ca="1"/>
        <v>78.67</v>
      </c>
      <c r="G494">
        <f t="shared" ca="1" si="31"/>
        <v>3.2430422003701942E-3</v>
      </c>
      <c r="H494">
        <f t="shared" ca="1" si="30"/>
        <v>-4.1804220037019437E-4</v>
      </c>
      <c r="I494">
        <f ca="1"/>
        <v>3.2800000000000003E-2</v>
      </c>
      <c r="J494">
        <f ca="1"/>
        <v>27.179590000000001</v>
      </c>
    </row>
    <row r="495" spans="1:10" x14ac:dyDescent="0.25">
      <c r="A495" t="str">
        <v>2011-02-28</v>
      </c>
      <c r="B495">
        <f t="shared" ca="1" si="28"/>
        <v>116.54024412117278</v>
      </c>
      <c r="C495">
        <f ca="1"/>
        <v>221.898</v>
      </c>
      <c r="D495">
        <f ca="1"/>
        <v>3.5799999999999998E-2</v>
      </c>
      <c r="E495">
        <f t="shared" ca="1" si="29"/>
        <v>2.9833333333333331E-3</v>
      </c>
      <c r="F495">
        <f ca="1"/>
        <v>79.989999999999995</v>
      </c>
      <c r="G495">
        <f t="shared" ca="1" si="31"/>
        <v>3.2144746300641902E-3</v>
      </c>
      <c r="H495">
        <f t="shared" ca="1" si="30"/>
        <v>-2.3114129673085715E-4</v>
      </c>
      <c r="I495">
        <f ca="1"/>
        <v>3.0099999999999998E-2</v>
      </c>
      <c r="J495">
        <f ca="1"/>
        <v>27.32104</v>
      </c>
    </row>
    <row r="496" spans="1:10" x14ac:dyDescent="0.25">
      <c r="A496" t="str">
        <v>2011-03-31</v>
      </c>
      <c r="B496">
        <f t="shared" ca="1" si="28"/>
        <v>117.85367686486195</v>
      </c>
      <c r="C496">
        <f ca="1"/>
        <v>223.04599999999999</v>
      </c>
      <c r="D496">
        <f ca="1"/>
        <v>3.4099999999999998E-2</v>
      </c>
      <c r="E496">
        <f t="shared" ca="1" si="29"/>
        <v>2.8416666666666664E-3</v>
      </c>
      <c r="F496">
        <f ca="1"/>
        <v>81.31</v>
      </c>
      <c r="G496">
        <f t="shared" ca="1" si="31"/>
        <v>5.1735482068338001E-3</v>
      </c>
      <c r="H496">
        <f t="shared" ca="1" si="30"/>
        <v>-2.3318815401671337E-3</v>
      </c>
      <c r="I496">
        <f ca="1"/>
        <v>3.3599999999999998E-2</v>
      </c>
      <c r="J496">
        <f ca="1"/>
        <v>27.329360000000001</v>
      </c>
    </row>
    <row r="497" spans="1:10" x14ac:dyDescent="0.25">
      <c r="A497" t="str">
        <v>2011-04-30</v>
      </c>
      <c r="B497">
        <f t="shared" ca="1" si="28"/>
        <v>118.53411360029095</v>
      </c>
      <c r="C497">
        <f ca="1"/>
        <v>224.09299999999999</v>
      </c>
      <c r="D497">
        <f ca="1"/>
        <v>3.4599999999999999E-2</v>
      </c>
      <c r="E497">
        <f t="shared" ca="1" si="29"/>
        <v>2.8833333333333332E-3</v>
      </c>
      <c r="F497">
        <f ca="1"/>
        <v>82.163330000000002</v>
      </c>
      <c r="G497">
        <f t="shared" ca="1" si="31"/>
        <v>4.6940989750992035E-3</v>
      </c>
      <c r="H497">
        <f t="shared" ca="1" si="30"/>
        <v>-1.8107656417658703E-3</v>
      </c>
      <c r="I497">
        <f ca="1"/>
        <v>3.2899999999999999E-2</v>
      </c>
      <c r="J497">
        <f ca="1"/>
        <v>27.506060000000002</v>
      </c>
    </row>
    <row r="498" spans="1:10" x14ac:dyDescent="0.25">
      <c r="A498" t="str">
        <v>2011-05-31</v>
      </c>
      <c r="B498">
        <f t="shared" ca="1" si="28"/>
        <v>119.38534674772914</v>
      </c>
      <c r="C498">
        <f ca="1"/>
        <v>224.80600000000001</v>
      </c>
      <c r="D498">
        <f ca="1"/>
        <v>3.1699999999999999E-2</v>
      </c>
      <c r="E498">
        <f t="shared" ca="1" si="29"/>
        <v>2.6416666666666667E-3</v>
      </c>
      <c r="F498">
        <f ca="1"/>
        <v>83.016670000000005</v>
      </c>
      <c r="G498">
        <f t="shared" ca="1" si="31"/>
        <v>3.1817147345076791E-3</v>
      </c>
      <c r="H498">
        <f t="shared" ca="1" si="30"/>
        <v>-5.4004806784101233E-4</v>
      </c>
      <c r="I498">
        <f ca="1"/>
        <v>3.5999999999999997E-2</v>
      </c>
      <c r="J498">
        <f ca="1"/>
        <v>27.727180000000001</v>
      </c>
    </row>
    <row r="499" spans="1:10" x14ac:dyDescent="0.25">
      <c r="A499" t="str">
        <v>2011-06-30</v>
      </c>
      <c r="B499">
        <f t="shared" ca="1" si="28"/>
        <v>120.61251109845823</v>
      </c>
      <c r="C499">
        <f ca="1"/>
        <v>224.80600000000001</v>
      </c>
      <c r="D499">
        <f ca="1"/>
        <v>0.03</v>
      </c>
      <c r="E499">
        <f t="shared" ca="1" si="29"/>
        <v>2.5000000000000001E-3</v>
      </c>
      <c r="F499">
        <f ca="1"/>
        <v>83.87</v>
      </c>
      <c r="G499">
        <f t="shared" ca="1" si="31"/>
        <v>0</v>
      </c>
      <c r="H499">
        <f t="shared" ca="1" si="30"/>
        <v>2.5000000000000001E-3</v>
      </c>
      <c r="I499">
        <f ca="1"/>
        <v>3.9300000000000002E-2</v>
      </c>
      <c r="J499">
        <f ca="1"/>
        <v>28.10718</v>
      </c>
    </row>
    <row r="500" spans="1:10" x14ac:dyDescent="0.25">
      <c r="A500" t="str">
        <v>2011-07-31</v>
      </c>
      <c r="B500">
        <f t="shared" ca="1" si="28"/>
        <v>121.78425542256926</v>
      </c>
      <c r="C500">
        <f ca="1"/>
        <v>225.39500000000001</v>
      </c>
      <c r="D500">
        <f ca="1"/>
        <v>0.03</v>
      </c>
      <c r="E500">
        <f t="shared" ca="1" si="29"/>
        <v>2.5000000000000001E-3</v>
      </c>
      <c r="F500">
        <f ca="1"/>
        <v>84.906670000000005</v>
      </c>
      <c r="G500">
        <f t="shared" ca="1" si="31"/>
        <v>2.6200368317570444E-3</v>
      </c>
      <c r="H500">
        <f t="shared" ca="1" si="30"/>
        <v>-1.2003683175704433E-4</v>
      </c>
      <c r="I500">
        <f ca="1"/>
        <v>3.8600000000000002E-2</v>
      </c>
      <c r="J500">
        <f ca="1"/>
        <v>28.405349999999999</v>
      </c>
    </row>
    <row r="501" spans="1:10" x14ac:dyDescent="0.25">
      <c r="A501" t="str">
        <v>2011-08-31</v>
      </c>
      <c r="B501">
        <f t="shared" ca="1" si="28"/>
        <v>122.88353736313942</v>
      </c>
      <c r="C501">
        <f ca="1"/>
        <v>226.10599999999999</v>
      </c>
      <c r="D501">
        <f ca="1"/>
        <v>2.3E-2</v>
      </c>
      <c r="E501">
        <f t="shared" ca="1" si="29"/>
        <v>1.9166666666666666E-3</v>
      </c>
      <c r="F501">
        <f ca="1"/>
        <v>85.943330000000003</v>
      </c>
      <c r="G501">
        <f t="shared" ca="1" si="31"/>
        <v>3.1544621664187922E-3</v>
      </c>
      <c r="H501">
        <f t="shared" ca="1" si="30"/>
        <v>-1.2377954997521256E-3</v>
      </c>
      <c r="I501">
        <f ca="1"/>
        <v>5.16E-2</v>
      </c>
      <c r="J501">
        <f ca="1"/>
        <v>28.6494</v>
      </c>
    </row>
    <row r="502" spans="1:10" x14ac:dyDescent="0.25">
      <c r="A502" t="str">
        <v>2011-09-30</v>
      </c>
      <c r="B502">
        <f t="shared" ca="1" si="28"/>
        <v>124.09630833594443</v>
      </c>
      <c r="C502">
        <f ca="1"/>
        <v>226.59700000000001</v>
      </c>
      <c r="D502">
        <f ca="1"/>
        <v>1.9800000000000002E-2</v>
      </c>
      <c r="E502">
        <f t="shared" ca="1" si="29"/>
        <v>1.6500000000000002E-3</v>
      </c>
      <c r="F502">
        <f ca="1"/>
        <v>86.98</v>
      </c>
      <c r="G502">
        <f t="shared" ca="1" si="31"/>
        <v>2.1715478580843772E-3</v>
      </c>
      <c r="H502">
        <f t="shared" ca="1" si="30"/>
        <v>-5.2154785808437702E-4</v>
      </c>
      <c r="I502">
        <f ca="1"/>
        <v>5.5399999999999998E-2</v>
      </c>
      <c r="J502">
        <f ca="1"/>
        <v>28.927630000000001</v>
      </c>
    </row>
    <row r="503" spans="1:10" x14ac:dyDescent="0.25">
      <c r="A503" t="str">
        <v>2011-10-31</v>
      </c>
      <c r="B503">
        <f t="shared" ca="1" si="28"/>
        <v>123.99831651598676</v>
      </c>
      <c r="C503">
        <f ca="1"/>
        <v>226.75</v>
      </c>
      <c r="D503">
        <f ca="1"/>
        <v>2.1499999999999998E-2</v>
      </c>
      <c r="E503">
        <f t="shared" ca="1" si="29"/>
        <v>1.7916666666666665E-3</v>
      </c>
      <c r="F503">
        <f ca="1"/>
        <v>86.97</v>
      </c>
      <c r="G503">
        <f t="shared" ca="1" si="31"/>
        <v>6.7520752701932807E-4</v>
      </c>
      <c r="H503">
        <f t="shared" ca="1" si="30"/>
        <v>1.1164591396473384E-3</v>
      </c>
      <c r="I503">
        <f ca="1"/>
        <v>5.2600000000000001E-2</v>
      </c>
      <c r="J503">
        <f ca="1"/>
        <v>29.467099999999999</v>
      </c>
    </row>
    <row r="504" spans="1:10" x14ac:dyDescent="0.25">
      <c r="A504" t="str">
        <v>2011-11-30</v>
      </c>
      <c r="B504">
        <f t="shared" ca="1" si="28"/>
        <v>123.75537753830847</v>
      </c>
      <c r="C504">
        <f ca="1"/>
        <v>227.16900000000001</v>
      </c>
      <c r="D504">
        <f ca="1"/>
        <v>2.01E-2</v>
      </c>
      <c r="E504">
        <f t="shared" ca="1" si="29"/>
        <v>1.6750000000000001E-3</v>
      </c>
      <c r="F504">
        <f ca="1"/>
        <v>86.96</v>
      </c>
      <c r="G504">
        <f t="shared" ca="1" si="31"/>
        <v>1.8478500551268873E-3</v>
      </c>
      <c r="H504">
        <f t="shared" ca="1" si="30"/>
        <v>-1.7285005512688721E-4</v>
      </c>
      <c r="I504">
        <f ca="1"/>
        <v>5.3699999999999998E-2</v>
      </c>
      <c r="J504">
        <f ca="1"/>
        <v>29.972049999999999</v>
      </c>
    </row>
    <row r="505" spans="1:10" x14ac:dyDescent="0.25">
      <c r="A505" t="str">
        <v>2011-12-31</v>
      </c>
      <c r="B505">
        <f t="shared" ca="1" si="28"/>
        <v>123.71173890847318</v>
      </c>
      <c r="C505">
        <f ca="1"/>
        <v>227.22300000000001</v>
      </c>
      <c r="D505">
        <f ca="1"/>
        <v>1.9800000000000002E-2</v>
      </c>
      <c r="E505">
        <f t="shared" ca="1" si="29"/>
        <v>1.6500000000000002E-3</v>
      </c>
      <c r="F505">
        <f ca="1"/>
        <v>86.95</v>
      </c>
      <c r="G505">
        <f t="shared" ca="1" si="31"/>
        <v>2.3770849015480877E-4</v>
      </c>
      <c r="H505">
        <f t="shared" ca="1" si="30"/>
        <v>1.4122915098451914E-3</v>
      </c>
      <c r="I505">
        <f ca="1"/>
        <v>5.3699999999999998E-2</v>
      </c>
      <c r="J505">
        <f ca="1"/>
        <v>30.527419999999999</v>
      </c>
    </row>
    <row r="506" spans="1:10" x14ac:dyDescent="0.25">
      <c r="A506" t="str">
        <v>2012-01-31</v>
      </c>
      <c r="B506">
        <f t="shared" ca="1" si="28"/>
        <v>124.12767040317412</v>
      </c>
      <c r="C506">
        <f ca="1"/>
        <v>227.84200000000001</v>
      </c>
      <c r="D506">
        <f ca="1"/>
        <v>1.9699999999999999E-2</v>
      </c>
      <c r="E506">
        <f t="shared" ca="1" si="29"/>
        <v>1.6416666666666665E-3</v>
      </c>
      <c r="F506">
        <f ca="1"/>
        <v>87.48</v>
      </c>
      <c r="G506">
        <f t="shared" ca="1" si="31"/>
        <v>2.7241960540966836E-3</v>
      </c>
      <c r="H506">
        <f t="shared" ca="1" si="30"/>
        <v>-1.0825293874300171E-3</v>
      </c>
      <c r="I506">
        <f ca="1"/>
        <v>5.2400000000000002E-2</v>
      </c>
      <c r="J506">
        <f ca="1"/>
        <v>30.74634</v>
      </c>
    </row>
    <row r="507" spans="1:10" x14ac:dyDescent="0.25">
      <c r="A507" t="str">
        <v>2012-02-29</v>
      </c>
      <c r="B507">
        <f t="shared" ca="1" si="28"/>
        <v>124.61334701242507</v>
      </c>
      <c r="C507">
        <f ca="1"/>
        <v>228.32900000000001</v>
      </c>
      <c r="D507">
        <f ca="1"/>
        <v>1.9699999999999999E-2</v>
      </c>
      <c r="E507">
        <f t="shared" ca="1" si="29"/>
        <v>1.6416666666666665E-3</v>
      </c>
      <c r="F507">
        <f ca="1"/>
        <v>88.01</v>
      </c>
      <c r="G507">
        <f t="shared" ca="1" si="31"/>
        <v>2.1374461249461518E-3</v>
      </c>
      <c r="H507">
        <f t="shared" ca="1" si="30"/>
        <v>-4.9577945827948534E-4</v>
      </c>
      <c r="I507">
        <f ca="1"/>
        <v>5.1200000000000002E-2</v>
      </c>
      <c r="J507">
        <f ca="1"/>
        <v>30.962669999999999</v>
      </c>
    </row>
    <row r="508" spans="1:10" x14ac:dyDescent="0.25">
      <c r="A508" t="str">
        <v>2012-03-31</v>
      </c>
      <c r="B508">
        <f t="shared" ca="1" si="28"/>
        <v>125.10187686565534</v>
      </c>
      <c r="C508">
        <f ca="1"/>
        <v>228.80699999999999</v>
      </c>
      <c r="D508">
        <f ca="1"/>
        <v>2.1700000000000001E-2</v>
      </c>
      <c r="E508">
        <f t="shared" ca="1" si="29"/>
        <v>1.8083333333333335E-3</v>
      </c>
      <c r="F508">
        <f ca="1"/>
        <v>88.54</v>
      </c>
      <c r="G508">
        <f t="shared" ca="1" si="31"/>
        <v>2.0934703870292282E-3</v>
      </c>
      <c r="H508">
        <f t="shared" ca="1" si="30"/>
        <v>-2.8513705369589471E-4</v>
      </c>
      <c r="I508">
        <f ca="1"/>
        <v>4.8899999999999999E-2</v>
      </c>
      <c r="J508">
        <f ca="1"/>
        <v>31.077760000000001</v>
      </c>
    </row>
    <row r="509" spans="1:10" x14ac:dyDescent="0.25">
      <c r="A509" t="str">
        <v>2012-04-30</v>
      </c>
      <c r="B509">
        <f t="shared" ca="1" si="28"/>
        <v>124.60292507441521</v>
      </c>
      <c r="C509">
        <f ca="1"/>
        <v>229.18700000000001</v>
      </c>
      <c r="D509">
        <f ca="1"/>
        <v>2.0500000000000001E-2</v>
      </c>
      <c r="E509">
        <f t="shared" ca="1" si="29"/>
        <v>1.7083333333333334E-3</v>
      </c>
      <c r="F509">
        <f ca="1"/>
        <v>88.333330000000004</v>
      </c>
      <c r="G509">
        <f t="shared" ca="1" si="31"/>
        <v>1.6607883500068255E-3</v>
      </c>
      <c r="H509">
        <f t="shared" ca="1" si="30"/>
        <v>4.7544983326507952E-5</v>
      </c>
      <c r="I509">
        <f ca="1"/>
        <v>5.04E-2</v>
      </c>
      <c r="J509">
        <f ca="1"/>
        <v>31.350449999999999</v>
      </c>
    </row>
    <row r="510" spans="1:10" x14ac:dyDescent="0.25">
      <c r="A510" t="str">
        <v>2012-05-31</v>
      </c>
      <c r="B510">
        <f t="shared" ca="1" si="28"/>
        <v>124.56904186019159</v>
      </c>
      <c r="C510">
        <f ca="1"/>
        <v>228.71299999999999</v>
      </c>
      <c r="D510">
        <f ca="1"/>
        <v>1.7999999999999999E-2</v>
      </c>
      <c r="E510">
        <f t="shared" ca="1" si="29"/>
        <v>1.4999999999999998E-3</v>
      </c>
      <c r="F510">
        <f ca="1"/>
        <v>88.126670000000004</v>
      </c>
      <c r="G510">
        <f t="shared" ca="1" si="31"/>
        <v>-2.0681801323810811E-3</v>
      </c>
      <c r="H510">
        <f t="shared" ca="1" si="30"/>
        <v>3.5681801323810807E-3</v>
      </c>
      <c r="I510">
        <f ca="1"/>
        <v>5.4600000000000003E-2</v>
      </c>
      <c r="J510">
        <f ca="1"/>
        <v>31.754010000000001</v>
      </c>
    </row>
    <row r="511" spans="1:10" x14ac:dyDescent="0.25">
      <c r="A511" t="str">
        <v>2012-06-30</v>
      </c>
      <c r="B511">
        <f t="shared" ca="1" si="28"/>
        <v>124.37969193607672</v>
      </c>
      <c r="C511">
        <f ca="1"/>
        <v>228.524</v>
      </c>
      <c r="D511">
        <f ca="1"/>
        <v>1.6199999999999999E-2</v>
      </c>
      <c r="E511">
        <f t="shared" ca="1" si="29"/>
        <v>1.3499999999999999E-3</v>
      </c>
      <c r="F511">
        <f ca="1"/>
        <v>87.92</v>
      </c>
      <c r="G511">
        <f t="shared" ca="1" si="31"/>
        <v>-8.2636317131068449E-4</v>
      </c>
      <c r="H511">
        <f t="shared" ca="1" si="30"/>
        <v>2.1763631713106841E-3</v>
      </c>
      <c r="I511">
        <f ca="1"/>
        <v>5.7099999999999998E-2</v>
      </c>
      <c r="J511">
        <f ca="1"/>
        <v>32.167909999999999</v>
      </c>
    </row>
    <row r="512" spans="1:10" x14ac:dyDescent="0.25">
      <c r="A512" t="str">
        <v>2012-07-31</v>
      </c>
      <c r="B512">
        <f t="shared" ca="1" si="28"/>
        <v>123.6743575439433</v>
      </c>
      <c r="C512">
        <f ca="1"/>
        <v>228.59</v>
      </c>
      <c r="D512">
        <f ca="1"/>
        <v>1.5299999999999999E-2</v>
      </c>
      <c r="E512">
        <f t="shared" ca="1" si="29"/>
        <v>1.2749999999999999E-3</v>
      </c>
      <c r="F512">
        <f ca="1"/>
        <v>87.446669999999997</v>
      </c>
      <c r="G512">
        <f t="shared" ca="1" si="31"/>
        <v>2.8880992806001871E-4</v>
      </c>
      <c r="H512">
        <f t="shared" ca="1" si="30"/>
        <v>9.8619007193998117E-4</v>
      </c>
      <c r="I512">
        <f ca="1"/>
        <v>5.67E-2</v>
      </c>
      <c r="J512">
        <f ca="1"/>
        <v>32.702060000000003</v>
      </c>
    </row>
    <row r="513" spans="1:10" x14ac:dyDescent="0.25">
      <c r="A513" t="str">
        <v>2012-08-31</v>
      </c>
      <c r="B513">
        <f t="shared" ca="1" si="28"/>
        <v>122.29444771192338</v>
      </c>
      <c r="C513">
        <f ca="1"/>
        <v>229.91800000000001</v>
      </c>
      <c r="D513">
        <f ca="1"/>
        <v>1.6799999999999999E-2</v>
      </c>
      <c r="E513">
        <f t="shared" ca="1" si="29"/>
        <v>1.4E-3</v>
      </c>
      <c r="F513">
        <f ca="1"/>
        <v>86.973330000000004</v>
      </c>
      <c r="G513">
        <f t="shared" ca="1" si="31"/>
        <v>5.8095279758518803E-3</v>
      </c>
      <c r="H513">
        <f t="shared" ca="1" si="30"/>
        <v>-4.4095279758518801E-3</v>
      </c>
      <c r="I513">
        <f ca="1"/>
        <v>5.45E-2</v>
      </c>
      <c r="J513">
        <f ca="1"/>
        <v>33.000050000000002</v>
      </c>
    </row>
    <row r="514" spans="1:10" x14ac:dyDescent="0.25">
      <c r="A514" t="str">
        <v>2012-09-30</v>
      </c>
      <c r="B514">
        <f t="shared" ref="B514:B577" ca="1" si="32">F514*$C$669/C514</f>
        <v>121.05132350713158</v>
      </c>
      <c r="C514">
        <f ca="1"/>
        <v>231.01499999999999</v>
      </c>
      <c r="D514">
        <f ca="1"/>
        <v>1.72E-2</v>
      </c>
      <c r="E514">
        <f t="shared" ca="1" si="29"/>
        <v>1.4333333333333333E-3</v>
      </c>
      <c r="F514">
        <f ca="1"/>
        <v>86.5</v>
      </c>
      <c r="G514">
        <f t="shared" ca="1" si="31"/>
        <v>4.7712662775423187E-3</v>
      </c>
      <c r="H514">
        <f t="shared" ca="1" si="30"/>
        <v>-3.3379329442089854E-3</v>
      </c>
      <c r="I514">
        <f ca="1"/>
        <v>5.3600000000000002E-2</v>
      </c>
      <c r="J514">
        <f ca="1"/>
        <v>33.330289999999998</v>
      </c>
    </row>
    <row r="515" spans="1:10" x14ac:dyDescent="0.25">
      <c r="A515" t="str">
        <v>2012-10-31</v>
      </c>
      <c r="B515">
        <f t="shared" ca="1" si="32"/>
        <v>120.7303985487269</v>
      </c>
      <c r="C515">
        <f ca="1"/>
        <v>231.63800000000001</v>
      </c>
      <c r="D515">
        <f ca="1"/>
        <v>1.7500000000000002E-2</v>
      </c>
      <c r="E515">
        <f t="shared" ref="E515:E578" ca="1" si="33">D515/12</f>
        <v>1.4583333333333334E-3</v>
      </c>
      <c r="F515">
        <f ca="1"/>
        <v>86.503330000000005</v>
      </c>
      <c r="G515">
        <f t="shared" ca="1" si="31"/>
        <v>2.6967945804385884E-3</v>
      </c>
      <c r="H515">
        <f t="shared" ref="H515:H578" ca="1" si="34">E515-G515</f>
        <v>-1.238461247105255E-3</v>
      </c>
      <c r="I515">
        <f ca="1"/>
        <v>5.3499999999999999E-2</v>
      </c>
      <c r="J515">
        <f ca="1"/>
        <v>33.96678</v>
      </c>
    </row>
    <row r="516" spans="1:10" x14ac:dyDescent="0.25">
      <c r="A516" t="str">
        <v>2012-11-30</v>
      </c>
      <c r="B516">
        <f t="shared" ca="1" si="32"/>
        <v>120.93815692595427</v>
      </c>
      <c r="C516">
        <f ca="1"/>
        <v>231.249</v>
      </c>
      <c r="D516">
        <f ca="1"/>
        <v>1.6500000000000001E-2</v>
      </c>
      <c r="E516">
        <f t="shared" ca="1" si="33"/>
        <v>1.3750000000000001E-3</v>
      </c>
      <c r="F516">
        <f ca="1"/>
        <v>86.50667</v>
      </c>
      <c r="G516">
        <f t="shared" ref="G516:G579" ca="1" si="35">C516/C515-1</f>
        <v>-1.6793444944266378E-3</v>
      </c>
      <c r="H516">
        <f t="shared" ca="1" si="34"/>
        <v>3.0543444944266382E-3</v>
      </c>
      <c r="I516">
        <f ca="1"/>
        <v>5.5500000000000001E-2</v>
      </c>
      <c r="J516">
        <f ca="1"/>
        <v>34.75497</v>
      </c>
    </row>
    <row r="517" spans="1:10" x14ac:dyDescent="0.25">
      <c r="A517" t="str">
        <v>2012-12-31</v>
      </c>
      <c r="B517">
        <f t="shared" ca="1" si="32"/>
        <v>120.95745805960533</v>
      </c>
      <c r="C517">
        <f ca="1"/>
        <v>231.221</v>
      </c>
      <c r="D517">
        <f ca="1"/>
        <v>1.72E-2</v>
      </c>
      <c r="E517">
        <f t="shared" ca="1" si="33"/>
        <v>1.4333333333333333E-3</v>
      </c>
      <c r="F517">
        <f ca="1"/>
        <v>86.51</v>
      </c>
      <c r="G517">
        <f t="shared" ca="1" si="35"/>
        <v>-1.2108160467716456E-4</v>
      </c>
      <c r="H517">
        <f t="shared" ca="1" si="34"/>
        <v>1.5544149380104979E-3</v>
      </c>
      <c r="I517">
        <f ca="1"/>
        <v>5.3999999999999999E-2</v>
      </c>
      <c r="J517">
        <f ca="1"/>
        <v>35.476999999999997</v>
      </c>
    </row>
    <row r="518" spans="1:10" x14ac:dyDescent="0.25">
      <c r="A518" t="str">
        <v>2013-01-31</v>
      </c>
      <c r="B518">
        <f t="shared" ca="1" si="32"/>
        <v>121.27186430781384</v>
      </c>
      <c r="C518">
        <f ca="1"/>
        <v>231.679</v>
      </c>
      <c r="D518">
        <f ca="1"/>
        <v>1.9099999999999999E-2</v>
      </c>
      <c r="E518">
        <f t="shared" ca="1" si="33"/>
        <v>1.5916666666666666E-3</v>
      </c>
      <c r="F518">
        <f ca="1"/>
        <v>86.906670000000005</v>
      </c>
      <c r="G518">
        <f t="shared" ca="1" si="35"/>
        <v>1.9807889421807889E-3</v>
      </c>
      <c r="H518">
        <f t="shared" ca="1" si="34"/>
        <v>-3.8912227551412236E-4</v>
      </c>
      <c r="I518">
        <f ca="1"/>
        <v>5.0500000000000003E-2</v>
      </c>
      <c r="J518">
        <f ca="1"/>
        <v>35.69688</v>
      </c>
    </row>
    <row r="519" spans="1:10" x14ac:dyDescent="0.25">
      <c r="A519" t="str">
        <v>2013-02-28</v>
      </c>
      <c r="B519">
        <f t="shared" ca="1" si="32"/>
        <v>121.1674438111163</v>
      </c>
      <c r="C519">
        <f ca="1"/>
        <v>232.93700000000001</v>
      </c>
      <c r="D519">
        <f ca="1"/>
        <v>1.9800000000000002E-2</v>
      </c>
      <c r="E519">
        <f t="shared" ca="1" si="33"/>
        <v>1.6500000000000002E-3</v>
      </c>
      <c r="F519">
        <f ca="1"/>
        <v>87.303330000000003</v>
      </c>
      <c r="G519">
        <f t="shared" ca="1" si="35"/>
        <v>5.4299267521009664E-3</v>
      </c>
      <c r="H519">
        <f t="shared" ca="1" si="34"/>
        <v>-3.779926752100966E-3</v>
      </c>
      <c r="I519">
        <f ca="1"/>
        <v>4.9599999999999998E-2</v>
      </c>
      <c r="J519">
        <f ca="1"/>
        <v>35.728740000000002</v>
      </c>
    </row>
    <row r="520" spans="1:10" x14ac:dyDescent="0.25">
      <c r="A520" t="str">
        <v>2013-03-31</v>
      </c>
      <c r="B520">
        <f t="shared" ca="1" si="32"/>
        <v>122.06120448420454</v>
      </c>
      <c r="C520">
        <f ca="1"/>
        <v>232.28200000000001</v>
      </c>
      <c r="D520">
        <f ca="1"/>
        <v>1.9599999999999999E-2</v>
      </c>
      <c r="E520">
        <f t="shared" ca="1" si="33"/>
        <v>1.6333333333333332E-3</v>
      </c>
      <c r="F520">
        <f ca="1"/>
        <v>87.7</v>
      </c>
      <c r="G520">
        <f t="shared" ca="1" si="35"/>
        <v>-2.8119191025899326E-3</v>
      </c>
      <c r="H520">
        <f t="shared" ca="1" si="34"/>
        <v>4.4452524359232656E-3</v>
      </c>
      <c r="I520">
        <f ca="1"/>
        <v>4.87E-2</v>
      </c>
      <c r="J520">
        <f ca="1"/>
        <v>35.956580000000002</v>
      </c>
    </row>
    <row r="521" spans="1:10" x14ac:dyDescent="0.25">
      <c r="A521" t="str">
        <v>2013-04-30</v>
      </c>
      <c r="B521">
        <f t="shared" ca="1" si="32"/>
        <v>123.82753676290031</v>
      </c>
      <c r="C521">
        <f ca="1"/>
        <v>231.797</v>
      </c>
      <c r="D521">
        <f ca="1"/>
        <v>1.7600000000000001E-2</v>
      </c>
      <c r="E521">
        <f t="shared" ca="1" si="33"/>
        <v>1.4666666666666667E-3</v>
      </c>
      <c r="F521">
        <f ca="1"/>
        <v>88.783330000000007</v>
      </c>
      <c r="G521">
        <f t="shared" ca="1" si="35"/>
        <v>-2.0879792665812191E-3</v>
      </c>
      <c r="H521">
        <f t="shared" ca="1" si="34"/>
        <v>3.5546459332478856E-3</v>
      </c>
      <c r="I521">
        <f ca="1"/>
        <v>5.0500000000000003E-2</v>
      </c>
      <c r="J521">
        <f ca="1"/>
        <v>36.427439999999997</v>
      </c>
    </row>
    <row r="522" spans="1:10" x14ac:dyDescent="0.25">
      <c r="A522" t="str">
        <v>2013-05-31</v>
      </c>
      <c r="B522">
        <f t="shared" ca="1" si="32"/>
        <v>125.2866003327828</v>
      </c>
      <c r="C522">
        <f ca="1"/>
        <v>231.893</v>
      </c>
      <c r="D522">
        <f ca="1"/>
        <v>1.9300000000000001E-2</v>
      </c>
      <c r="E522">
        <f t="shared" ca="1" si="33"/>
        <v>1.6083333333333334E-3</v>
      </c>
      <c r="F522">
        <f ca="1"/>
        <v>89.866669999999999</v>
      </c>
      <c r="G522">
        <f t="shared" ca="1" si="35"/>
        <v>4.1415548950163306E-4</v>
      </c>
      <c r="H522">
        <f t="shared" ca="1" si="34"/>
        <v>1.1941778438317003E-3</v>
      </c>
      <c r="I522">
        <f ca="1"/>
        <v>4.7600000000000003E-2</v>
      </c>
      <c r="J522">
        <f ca="1"/>
        <v>36.795360000000002</v>
      </c>
    </row>
    <row r="523" spans="1:10" x14ac:dyDescent="0.25">
      <c r="A523" t="str">
        <v>2013-06-30</v>
      </c>
      <c r="B523">
        <f t="shared" ca="1" si="32"/>
        <v>126.49580094215837</v>
      </c>
      <c r="C523">
        <f ca="1"/>
        <v>232.44499999999999</v>
      </c>
      <c r="D523">
        <f ca="1"/>
        <v>2.3E-2</v>
      </c>
      <c r="E523">
        <f t="shared" ca="1" si="33"/>
        <v>1.9166666666666666E-3</v>
      </c>
      <c r="F523">
        <f ca="1"/>
        <v>90.95</v>
      </c>
      <c r="G523">
        <f t="shared" ca="1" si="35"/>
        <v>2.3804082055085551E-3</v>
      </c>
      <c r="H523">
        <f t="shared" ca="1" si="34"/>
        <v>-4.6374153884188858E-4</v>
      </c>
      <c r="I523">
        <f ca="1"/>
        <v>4.4900000000000002E-2</v>
      </c>
      <c r="J523">
        <f ca="1"/>
        <v>37.138910000000003</v>
      </c>
    </row>
    <row r="524" spans="1:10" x14ac:dyDescent="0.25">
      <c r="A524" t="str">
        <v>2013-07-31</v>
      </c>
      <c r="B524">
        <f t="shared" ca="1" si="32"/>
        <v>127.8311214684414</v>
      </c>
      <c r="C524">
        <f ca="1"/>
        <v>232.9</v>
      </c>
      <c r="D524">
        <f ca="1"/>
        <v>2.58E-2</v>
      </c>
      <c r="E524">
        <f t="shared" ca="1" si="33"/>
        <v>2.15E-3</v>
      </c>
      <c r="F524">
        <f ca="1"/>
        <v>92.09</v>
      </c>
      <c r="G524">
        <f t="shared" ca="1" si="35"/>
        <v>1.9574523005443378E-3</v>
      </c>
      <c r="H524">
        <f t="shared" ca="1" si="34"/>
        <v>1.9254769945566217E-4</v>
      </c>
      <c r="I524">
        <f ca="1"/>
        <v>4.1000000000000002E-2</v>
      </c>
      <c r="J524">
        <f ca="1"/>
        <v>37.544580000000003</v>
      </c>
    </row>
    <row r="525" spans="1:10" x14ac:dyDescent="0.25">
      <c r="A525" t="str">
        <v>2013-08-31</v>
      </c>
      <c r="B525">
        <f t="shared" ca="1" si="32"/>
        <v>129.10535574155301</v>
      </c>
      <c r="C525">
        <f ca="1"/>
        <v>233.45599999999999</v>
      </c>
      <c r="D525">
        <f ca="1"/>
        <v>2.7400000000000001E-2</v>
      </c>
      <c r="E525">
        <f t="shared" ca="1" si="33"/>
        <v>2.2833333333333334E-3</v>
      </c>
      <c r="F525">
        <f ca="1"/>
        <v>93.23</v>
      </c>
      <c r="G525">
        <f t="shared" ca="1" si="35"/>
        <v>2.3872906826962748E-3</v>
      </c>
      <c r="H525">
        <f t="shared" ca="1" si="34"/>
        <v>-1.0395734936294136E-4</v>
      </c>
      <c r="I525">
        <f ca="1"/>
        <v>3.9399999999999998E-2</v>
      </c>
      <c r="J525">
        <f ca="1"/>
        <v>37.919269999999997</v>
      </c>
    </row>
    <row r="526" spans="1:10" x14ac:dyDescent="0.25">
      <c r="A526" t="str">
        <v>2013-09-30</v>
      </c>
      <c r="B526">
        <f t="shared" ca="1" si="32"/>
        <v>130.6347911742541</v>
      </c>
      <c r="C526">
        <f ca="1"/>
        <v>233.54400000000001</v>
      </c>
      <c r="D526">
        <f ca="1"/>
        <v>2.81E-2</v>
      </c>
      <c r="E526">
        <f t="shared" ca="1" si="33"/>
        <v>2.3416666666666668E-3</v>
      </c>
      <c r="F526">
        <f ca="1"/>
        <v>94.37</v>
      </c>
      <c r="G526">
        <f t="shared" ca="1" si="35"/>
        <v>3.7694469193350066E-4</v>
      </c>
      <c r="H526">
        <f t="shared" ca="1" si="34"/>
        <v>1.9647219747331661E-3</v>
      </c>
      <c r="I526">
        <f ca="1"/>
        <v>3.8300000000000001E-2</v>
      </c>
      <c r="J526">
        <f ca="1"/>
        <v>38.294530000000002</v>
      </c>
    </row>
    <row r="527" spans="1:10" x14ac:dyDescent="0.25">
      <c r="A527" t="str">
        <v>2013-10-31</v>
      </c>
      <c r="B527">
        <f t="shared" ca="1" si="32"/>
        <v>133.25358849068553</v>
      </c>
      <c r="C527">
        <f ca="1"/>
        <v>233.66900000000001</v>
      </c>
      <c r="D527">
        <f ca="1"/>
        <v>2.6200000000000001E-2</v>
      </c>
      <c r="E527">
        <f t="shared" ca="1" si="33"/>
        <v>2.1833333333333336E-3</v>
      </c>
      <c r="F527">
        <f ca="1"/>
        <v>96.313329999999993</v>
      </c>
      <c r="G527">
        <f t="shared" ca="1" si="35"/>
        <v>5.3523104853914205E-4</v>
      </c>
      <c r="H527">
        <f t="shared" ca="1" si="34"/>
        <v>1.6481022847941915E-3</v>
      </c>
      <c r="I527">
        <f ca="1"/>
        <v>3.9300000000000002E-2</v>
      </c>
      <c r="J527">
        <f ca="1"/>
        <v>38.612900000000003</v>
      </c>
    </row>
    <row r="528" spans="1:10" x14ac:dyDescent="0.25">
      <c r="A528" t="str">
        <v>2013-11-30</v>
      </c>
      <c r="B528">
        <f t="shared" ca="1" si="32"/>
        <v>135.69199957697566</v>
      </c>
      <c r="C528">
        <f ca="1"/>
        <v>234.1</v>
      </c>
      <c r="D528">
        <f ca="1"/>
        <v>2.7199999999999998E-2</v>
      </c>
      <c r="E528">
        <f t="shared" ca="1" si="33"/>
        <v>2.2666666666666664E-3</v>
      </c>
      <c r="F528">
        <f ca="1"/>
        <v>98.25667</v>
      </c>
      <c r="G528">
        <f t="shared" ca="1" si="35"/>
        <v>1.8444894273523804E-3</v>
      </c>
      <c r="H528">
        <f t="shared" ca="1" si="34"/>
        <v>4.2217723931428598E-4</v>
      </c>
      <c r="I528">
        <f ca="1"/>
        <v>3.6999999999999998E-2</v>
      </c>
      <c r="J528">
        <f ca="1"/>
        <v>38.911879999999996</v>
      </c>
    </row>
    <row r="529" spans="1:10" x14ac:dyDescent="0.25">
      <c r="A529" t="str">
        <v>2013-12-31</v>
      </c>
      <c r="B529">
        <f t="shared" ca="1" si="32"/>
        <v>138.01080526075862</v>
      </c>
      <c r="C529">
        <f ca="1"/>
        <v>234.71899999999999</v>
      </c>
      <c r="D529">
        <f ca="1"/>
        <v>2.9000000000000001E-2</v>
      </c>
      <c r="E529">
        <f t="shared" ca="1" si="33"/>
        <v>2.4166666666666668E-3</v>
      </c>
      <c r="F529">
        <f ca="1"/>
        <v>100.2</v>
      </c>
      <c r="G529">
        <f t="shared" ca="1" si="35"/>
        <v>2.6441691584793148E-3</v>
      </c>
      <c r="H529">
        <f t="shared" ca="1" si="34"/>
        <v>-2.2750249181264798E-4</v>
      </c>
      <c r="I529">
        <f ca="1"/>
        <v>3.5000000000000003E-2</v>
      </c>
      <c r="J529">
        <f ca="1"/>
        <v>39.135179999999998</v>
      </c>
    </row>
    <row r="530" spans="1:10" x14ac:dyDescent="0.25">
      <c r="A530" t="str">
        <v>2014-01-31</v>
      </c>
      <c r="B530">
        <f t="shared" ca="1" si="32"/>
        <v>137.97476140291897</v>
      </c>
      <c r="C530">
        <f ca="1"/>
        <v>235.28800000000001</v>
      </c>
      <c r="D530">
        <f ca="1"/>
        <v>2.86E-2</v>
      </c>
      <c r="E530">
        <f t="shared" ca="1" si="33"/>
        <v>2.3833333333333332E-3</v>
      </c>
      <c r="F530">
        <f ca="1"/>
        <v>100.41667</v>
      </c>
      <c r="G530">
        <f t="shared" ca="1" si="35"/>
        <v>2.4241752904536895E-3</v>
      </c>
      <c r="H530">
        <f t="shared" ca="1" si="34"/>
        <v>-4.0841957120356289E-5</v>
      </c>
      <c r="I530">
        <f ca="1"/>
        <v>3.5299999999999998E-2</v>
      </c>
      <c r="J530">
        <f ca="1"/>
        <v>39.450710000000001</v>
      </c>
    </row>
    <row r="531" spans="1:10" x14ac:dyDescent="0.25">
      <c r="A531" t="str">
        <v>2014-02-28</v>
      </c>
      <c r="B531">
        <f t="shared" ca="1" si="32"/>
        <v>138.12041711008843</v>
      </c>
      <c r="C531">
        <f ca="1"/>
        <v>235.547</v>
      </c>
      <c r="D531">
        <f ca="1"/>
        <v>2.7099999999999999E-2</v>
      </c>
      <c r="E531">
        <f t="shared" ca="1" si="33"/>
        <v>2.2583333333333331E-3</v>
      </c>
      <c r="F531">
        <f ca="1"/>
        <v>100.63333</v>
      </c>
      <c r="G531">
        <f t="shared" ca="1" si="35"/>
        <v>1.1007786202441583E-3</v>
      </c>
      <c r="H531">
        <f t="shared" ca="1" si="34"/>
        <v>1.1575547130891748E-3</v>
      </c>
      <c r="I531">
        <f ca="1"/>
        <v>3.6999999999999998E-2</v>
      </c>
      <c r="J531">
        <f ca="1"/>
        <v>39.76426</v>
      </c>
    </row>
    <row r="532" spans="1:10" x14ac:dyDescent="0.25">
      <c r="A532" t="str">
        <v>2014-03-31</v>
      </c>
      <c r="B532">
        <f t="shared" ca="1" si="32"/>
        <v>138.1357184317115</v>
      </c>
      <c r="C532">
        <f ca="1"/>
        <v>236.02799999999999</v>
      </c>
      <c r="D532">
        <f ca="1"/>
        <v>2.7199999999999998E-2</v>
      </c>
      <c r="E532">
        <f t="shared" ca="1" si="33"/>
        <v>2.2666666666666664E-3</v>
      </c>
      <c r="F532">
        <f ca="1"/>
        <v>100.85</v>
      </c>
      <c r="G532">
        <f t="shared" ca="1" si="35"/>
        <v>2.0420553010651599E-3</v>
      </c>
      <c r="H532">
        <f t="shared" ca="1" si="34"/>
        <v>2.2461136560150653E-4</v>
      </c>
      <c r="I532">
        <f ca="1"/>
        <v>3.6299999999999999E-2</v>
      </c>
      <c r="J532">
        <f ca="1"/>
        <v>39.965760000000003</v>
      </c>
    </row>
    <row r="533" spans="1:10" x14ac:dyDescent="0.25">
      <c r="A533" t="str">
        <v>2014-04-30</v>
      </c>
      <c r="B533">
        <f t="shared" ca="1" si="32"/>
        <v>138.91318043443511</v>
      </c>
      <c r="C533">
        <f ca="1"/>
        <v>236.46799999999999</v>
      </c>
      <c r="D533">
        <f ca="1"/>
        <v>2.7099999999999999E-2</v>
      </c>
      <c r="E533">
        <f t="shared" ca="1" si="33"/>
        <v>2.2583333333333331E-3</v>
      </c>
      <c r="F533">
        <f ca="1"/>
        <v>101.60666999999999</v>
      </c>
      <c r="G533">
        <f t="shared" ca="1" si="35"/>
        <v>1.8641856050976013E-3</v>
      </c>
      <c r="H533">
        <f t="shared" ca="1" si="34"/>
        <v>3.9414772823573177E-4</v>
      </c>
      <c r="I533">
        <f ca="1"/>
        <v>3.6700000000000003E-2</v>
      </c>
      <c r="J533">
        <f ca="1"/>
        <v>40.25591</v>
      </c>
    </row>
    <row r="534" spans="1:10" x14ac:dyDescent="0.25">
      <c r="A534" t="str">
        <v>2014-05-31</v>
      </c>
      <c r="B534">
        <f t="shared" ca="1" si="32"/>
        <v>139.68184485362025</v>
      </c>
      <c r="C534">
        <f ca="1"/>
        <v>236.91800000000001</v>
      </c>
      <c r="D534">
        <f ca="1"/>
        <v>2.5600000000000001E-2</v>
      </c>
      <c r="E534">
        <f t="shared" ca="1" si="33"/>
        <v>2.1333333333333334E-3</v>
      </c>
      <c r="F534">
        <f ca="1"/>
        <v>102.36333</v>
      </c>
      <c r="G534">
        <f t="shared" ca="1" si="35"/>
        <v>1.9030059035471947E-3</v>
      </c>
      <c r="H534">
        <f t="shared" ca="1" si="34"/>
        <v>2.3032742978613876E-4</v>
      </c>
      <c r="I534">
        <f ca="1"/>
        <v>3.7699999999999997E-2</v>
      </c>
      <c r="J534">
        <f ca="1"/>
        <v>40.535800000000002</v>
      </c>
    </row>
    <row r="535" spans="1:10" x14ac:dyDescent="0.25">
      <c r="A535" t="str">
        <v>2014-06-30</v>
      </c>
      <c r="B535">
        <f t="shared" ca="1" si="32"/>
        <v>140.5287163987843</v>
      </c>
      <c r="C535">
        <f ca="1"/>
        <v>237.23099999999999</v>
      </c>
      <c r="D535">
        <f ca="1"/>
        <v>2.5999999999999999E-2</v>
      </c>
      <c r="E535">
        <f t="shared" ca="1" si="33"/>
        <v>2.1666666666666666E-3</v>
      </c>
      <c r="F535">
        <f ca="1"/>
        <v>103.12</v>
      </c>
      <c r="G535">
        <f t="shared" ca="1" si="35"/>
        <v>1.321132206079767E-3</v>
      </c>
      <c r="H535">
        <f t="shared" ca="1" si="34"/>
        <v>8.4553446058689957E-4</v>
      </c>
      <c r="I535">
        <f ca="1"/>
        <v>3.6200000000000003E-2</v>
      </c>
      <c r="J535">
        <f ca="1"/>
        <v>40.87968</v>
      </c>
    </row>
    <row r="536" spans="1:10" x14ac:dyDescent="0.25">
      <c r="A536" t="str">
        <v>2014-07-31</v>
      </c>
      <c r="B536">
        <f t="shared" ca="1" si="32"/>
        <v>141.65937317775308</v>
      </c>
      <c r="C536">
        <f ca="1"/>
        <v>237.49799999999999</v>
      </c>
      <c r="D536">
        <f ca="1"/>
        <v>2.5399999999999999E-2</v>
      </c>
      <c r="E536">
        <f t="shared" ca="1" si="33"/>
        <v>2.1166666666666664E-3</v>
      </c>
      <c r="F536">
        <f ca="1"/>
        <v>104.06667</v>
      </c>
      <c r="G536">
        <f t="shared" ca="1" si="35"/>
        <v>1.1254852864928111E-3</v>
      </c>
      <c r="H536">
        <f t="shared" ca="1" si="34"/>
        <v>9.9118138017385534E-4</v>
      </c>
      <c r="I536">
        <f ca="1"/>
        <v>3.6499999999999998E-2</v>
      </c>
      <c r="J536">
        <f ca="1"/>
        <v>41.300440000000002</v>
      </c>
    </row>
    <row r="537" spans="1:10" x14ac:dyDescent="0.25">
      <c r="A537" t="str">
        <v>2014-08-31</v>
      </c>
      <c r="B537">
        <f t="shared" ca="1" si="32"/>
        <v>142.97087706994861</v>
      </c>
      <c r="C537">
        <f ca="1"/>
        <v>237.46</v>
      </c>
      <c r="D537">
        <f ca="1"/>
        <v>2.4199999999999999E-2</v>
      </c>
      <c r="E537">
        <f t="shared" ca="1" si="33"/>
        <v>2.0166666666666666E-3</v>
      </c>
      <c r="F537">
        <f ca="1"/>
        <v>105.01333</v>
      </c>
      <c r="G537">
        <f t="shared" ca="1" si="35"/>
        <v>-1.6000134737970129E-4</v>
      </c>
      <c r="H537">
        <f t="shared" ca="1" si="34"/>
        <v>2.1766680140463679E-3</v>
      </c>
      <c r="I537">
        <f ca="1"/>
        <v>3.78E-2</v>
      </c>
      <c r="J537">
        <f ca="1"/>
        <v>41.775030000000001</v>
      </c>
    </row>
    <row r="538" spans="1:10" x14ac:dyDescent="0.25">
      <c r="A538" t="str">
        <v>2014-09-30</v>
      </c>
      <c r="B538">
        <f t="shared" ca="1" si="32"/>
        <v>144.24939829962477</v>
      </c>
      <c r="C538">
        <f ca="1"/>
        <v>237.477</v>
      </c>
      <c r="D538">
        <f ca="1"/>
        <v>2.53E-2</v>
      </c>
      <c r="E538">
        <f t="shared" ca="1" si="33"/>
        <v>2.1083333333333332E-3</v>
      </c>
      <c r="F538">
        <f ca="1"/>
        <v>105.96</v>
      </c>
      <c r="G538">
        <f t="shared" ca="1" si="35"/>
        <v>7.1591004800808378E-5</v>
      </c>
      <c r="H538">
        <f t="shared" ca="1" si="34"/>
        <v>2.0367423285325248E-3</v>
      </c>
      <c r="I538">
        <f ca="1"/>
        <v>3.61E-2</v>
      </c>
      <c r="J538">
        <f ca="1"/>
        <v>42.148780000000002</v>
      </c>
    </row>
    <row r="539" spans="1:10" x14ac:dyDescent="0.25">
      <c r="A539" t="str">
        <v>2014-10-31</v>
      </c>
      <c r="B539">
        <f t="shared" ca="1" si="32"/>
        <v>142.62130269565768</v>
      </c>
      <c r="C539">
        <f ca="1"/>
        <v>237.43</v>
      </c>
      <c r="D539">
        <f ca="1"/>
        <v>2.3E-2</v>
      </c>
      <c r="E539">
        <f t="shared" ca="1" si="33"/>
        <v>1.9166666666666666E-3</v>
      </c>
      <c r="F539">
        <f ca="1"/>
        <v>104.74333</v>
      </c>
      <c r="G539">
        <f t="shared" ca="1" si="35"/>
        <v>-1.9791390324119806E-4</v>
      </c>
      <c r="H539">
        <f t="shared" ca="1" si="34"/>
        <v>2.1145805699078644E-3</v>
      </c>
      <c r="I539">
        <f ca="1"/>
        <v>3.8800000000000001E-2</v>
      </c>
      <c r="J539">
        <f ca="1"/>
        <v>42.602580000000003</v>
      </c>
    </row>
    <row r="540" spans="1:10" x14ac:dyDescent="0.25">
      <c r="A540" t="str">
        <v>2014-11-30</v>
      </c>
      <c r="B540">
        <f t="shared" ca="1" si="32"/>
        <v>141.23055523379315</v>
      </c>
      <c r="C540">
        <f ca="1"/>
        <v>236.983</v>
      </c>
      <c r="D540">
        <f ca="1"/>
        <v>2.3300000000000001E-2</v>
      </c>
      <c r="E540">
        <f t="shared" ca="1" si="33"/>
        <v>1.9416666666666668E-3</v>
      </c>
      <c r="F540">
        <f ca="1"/>
        <v>103.52667</v>
      </c>
      <c r="G540">
        <f t="shared" ca="1" si="35"/>
        <v>-1.8826601524659647E-3</v>
      </c>
      <c r="H540">
        <f t="shared" ca="1" si="34"/>
        <v>3.8243268191326318E-3</v>
      </c>
      <c r="I540">
        <f ca="1"/>
        <v>3.5700000000000003E-2</v>
      </c>
      <c r="J540">
        <f ca="1"/>
        <v>43.183390000000003</v>
      </c>
    </row>
    <row r="541" spans="1:10" x14ac:dyDescent="0.25">
      <c r="A541" t="str">
        <v>2014-12-31</v>
      </c>
      <c r="B541">
        <f t="shared" ca="1" si="32"/>
        <v>140.00263367082607</v>
      </c>
      <c r="C541">
        <f ca="1"/>
        <v>236.25200000000001</v>
      </c>
      <c r="D541">
        <f ca="1"/>
        <v>2.2100000000000002E-2</v>
      </c>
      <c r="E541">
        <f t="shared" ca="1" si="33"/>
        <v>1.8416666666666668E-3</v>
      </c>
      <c r="F541">
        <f ca="1"/>
        <v>102.31</v>
      </c>
      <c r="G541">
        <f t="shared" ca="1" si="35"/>
        <v>-3.0846094445592387E-3</v>
      </c>
      <c r="H541">
        <f t="shared" ca="1" si="34"/>
        <v>4.9262761112259055E-3</v>
      </c>
      <c r="I541">
        <f ca="1"/>
        <v>3.6499999999999998E-2</v>
      </c>
      <c r="J541">
        <f ca="1"/>
        <v>43.78116</v>
      </c>
    </row>
    <row r="542" spans="1:10" x14ac:dyDescent="0.25">
      <c r="A542" t="str">
        <v>2015-01-31</v>
      </c>
      <c r="B542">
        <f t="shared" ca="1" si="32"/>
        <v>139.49547977183946</v>
      </c>
      <c r="C542">
        <f ca="1"/>
        <v>234.74700000000001</v>
      </c>
      <c r="D542">
        <f ca="1"/>
        <v>1.8800000000000001E-2</v>
      </c>
      <c r="E542">
        <f t="shared" ca="1" si="33"/>
        <v>1.5666666666666667E-3</v>
      </c>
      <c r="F542">
        <f ca="1"/>
        <v>101.29</v>
      </c>
      <c r="G542">
        <f t="shared" ca="1" si="35"/>
        <v>-6.3703164417655556E-3</v>
      </c>
      <c r="H542">
        <f t="shared" ca="1" si="34"/>
        <v>7.9369831084322232E-3</v>
      </c>
      <c r="I542">
        <f ca="1"/>
        <v>3.95E-2</v>
      </c>
      <c r="J542">
        <f ca="1"/>
        <v>44.497489999999999</v>
      </c>
    </row>
    <row r="543" spans="1:10" x14ac:dyDescent="0.25">
      <c r="A543" t="str">
        <v>2015-02-28</v>
      </c>
      <c r="B543">
        <f t="shared" ca="1" si="32"/>
        <v>137.74162100262595</v>
      </c>
      <c r="C543">
        <f ca="1"/>
        <v>235.34200000000001</v>
      </c>
      <c r="D543">
        <f ca="1"/>
        <v>1.9800000000000002E-2</v>
      </c>
      <c r="E543">
        <f t="shared" ca="1" si="33"/>
        <v>1.6500000000000002E-3</v>
      </c>
      <c r="F543">
        <f ca="1"/>
        <v>100.27</v>
      </c>
      <c r="G543">
        <f t="shared" ca="1" si="35"/>
        <v>2.5346436802173855E-3</v>
      </c>
      <c r="H543">
        <f t="shared" ca="1" si="34"/>
        <v>-8.846436802173853E-4</v>
      </c>
      <c r="I543">
        <f ca="1"/>
        <v>3.7600000000000001E-2</v>
      </c>
      <c r="J543">
        <f ca="1"/>
        <v>44.812199999999997</v>
      </c>
    </row>
    <row r="544" spans="1:10" x14ac:dyDescent="0.25">
      <c r="A544" t="str">
        <v>2015-03-31</v>
      </c>
      <c r="B544">
        <f t="shared" ca="1" si="32"/>
        <v>135.9741319032444</v>
      </c>
      <c r="C544">
        <f ca="1"/>
        <v>235.976</v>
      </c>
      <c r="D544">
        <f ca="1"/>
        <v>2.0400000000000001E-2</v>
      </c>
      <c r="E544">
        <f t="shared" ca="1" si="33"/>
        <v>1.7000000000000001E-3</v>
      </c>
      <c r="F544">
        <f ca="1"/>
        <v>99.25</v>
      </c>
      <c r="G544">
        <f t="shared" ca="1" si="35"/>
        <v>2.6939517808124425E-3</v>
      </c>
      <c r="H544">
        <f t="shared" ca="1" si="34"/>
        <v>-9.9395178081244234E-4</v>
      </c>
      <c r="I544">
        <f ca="1"/>
        <v>3.7199999999999997E-2</v>
      </c>
      <c r="J544">
        <f ca="1"/>
        <v>45.051189999999998</v>
      </c>
    </row>
    <row r="545" spans="1:10" x14ac:dyDescent="0.25">
      <c r="A545" t="str">
        <v>2015-04-30</v>
      </c>
      <c r="B545">
        <f t="shared" ca="1" si="32"/>
        <v>133.85263167287553</v>
      </c>
      <c r="C545">
        <f ca="1"/>
        <v>236.22200000000001</v>
      </c>
      <c r="D545">
        <f ca="1"/>
        <v>1.9400000000000001E-2</v>
      </c>
      <c r="E545">
        <f t="shared" ca="1" si="33"/>
        <v>1.6166666666666666E-3</v>
      </c>
      <c r="F545">
        <f ca="1"/>
        <v>97.803330000000003</v>
      </c>
      <c r="G545">
        <f t="shared" ca="1" si="35"/>
        <v>1.0424788961589382E-3</v>
      </c>
      <c r="H545">
        <f t="shared" ca="1" si="34"/>
        <v>5.7418777050772846E-4</v>
      </c>
      <c r="I545">
        <f ca="1"/>
        <v>3.7699999999999997E-2</v>
      </c>
      <c r="J545">
        <f ca="1"/>
        <v>45.301319999999997</v>
      </c>
    </row>
    <row r="546" spans="1:10" x14ac:dyDescent="0.25">
      <c r="A546" t="str">
        <v>2015-05-31</v>
      </c>
      <c r="B546">
        <f t="shared" ca="1" si="32"/>
        <v>131.4392943530618</v>
      </c>
      <c r="C546">
        <f ca="1"/>
        <v>237.001</v>
      </c>
      <c r="D546">
        <f ca="1"/>
        <v>2.1999999999999999E-2</v>
      </c>
      <c r="E546">
        <f t="shared" ca="1" si="33"/>
        <v>1.8333333333333333E-3</v>
      </c>
      <c r="F546">
        <f ca="1"/>
        <v>96.356669999999994</v>
      </c>
      <c r="G546">
        <f t="shared" ca="1" si="35"/>
        <v>3.2977453412468272E-3</v>
      </c>
      <c r="H546">
        <f t="shared" ca="1" si="34"/>
        <v>-1.4644120079134939E-3</v>
      </c>
      <c r="I546">
        <f ca="1"/>
        <v>3.5700000000000003E-2</v>
      </c>
      <c r="J546">
        <f ca="1"/>
        <v>45.411369999999998</v>
      </c>
    </row>
    <row r="547" spans="1:10" x14ac:dyDescent="0.25">
      <c r="A547" t="str">
        <v>2015-06-30</v>
      </c>
      <c r="B547">
        <f t="shared" ca="1" si="32"/>
        <v>129.10854218474523</v>
      </c>
      <c r="C547">
        <f ca="1"/>
        <v>237.65700000000001</v>
      </c>
      <c r="D547">
        <f ca="1"/>
        <v>2.3599999999999999E-2</v>
      </c>
      <c r="E547">
        <f t="shared" ca="1" si="33"/>
        <v>1.9666666666666665E-3</v>
      </c>
      <c r="F547">
        <f ca="1"/>
        <v>94.91</v>
      </c>
      <c r="G547">
        <f t="shared" ca="1" si="35"/>
        <v>2.7679208104607333E-3</v>
      </c>
      <c r="H547">
        <f t="shared" ca="1" si="34"/>
        <v>-8.0125414379406687E-4</v>
      </c>
      <c r="I547">
        <f ca="1"/>
        <v>3.4799999999999998E-2</v>
      </c>
      <c r="J547">
        <f ca="1"/>
        <v>45.591459999999998</v>
      </c>
    </row>
    <row r="548" spans="1:10" x14ac:dyDescent="0.25">
      <c r="A548" t="str">
        <v>2015-07-31</v>
      </c>
      <c r="B548">
        <f t="shared" ca="1" si="32"/>
        <v>126.97997827633868</v>
      </c>
      <c r="C548">
        <f ca="1"/>
        <v>238.03399999999999</v>
      </c>
      <c r="D548">
        <f ca="1"/>
        <v>2.3199999999999998E-2</v>
      </c>
      <c r="E548">
        <f t="shared" ca="1" si="33"/>
        <v>1.9333333333333331E-3</v>
      </c>
      <c r="F548">
        <f ca="1"/>
        <v>93.49333</v>
      </c>
      <c r="G548">
        <f t="shared" ca="1" si="35"/>
        <v>1.5863197801873063E-3</v>
      </c>
      <c r="H548">
        <f t="shared" ca="1" si="34"/>
        <v>3.4701355314602678E-4</v>
      </c>
      <c r="I548">
        <f ca="1"/>
        <v>3.49E-2</v>
      </c>
      <c r="J548">
        <f ca="1"/>
        <v>45.868729999999999</v>
      </c>
    </row>
    <row r="549" spans="1:10" x14ac:dyDescent="0.25">
      <c r="A549" t="str">
        <v>2015-08-31</v>
      </c>
      <c r="B549">
        <f t="shared" ca="1" si="32"/>
        <v>125.05643638054387</v>
      </c>
      <c r="C549">
        <f ca="1"/>
        <v>238.03299999999999</v>
      </c>
      <c r="D549">
        <f ca="1"/>
        <v>2.1700000000000001E-2</v>
      </c>
      <c r="E549">
        <f t="shared" ca="1" si="33"/>
        <v>1.8083333333333335E-3</v>
      </c>
      <c r="F549">
        <f ca="1"/>
        <v>92.076669999999993</v>
      </c>
      <c r="G549">
        <f t="shared" ca="1" si="35"/>
        <v>-4.2010805179071298E-6</v>
      </c>
      <c r="H549">
        <f t="shared" ca="1" si="34"/>
        <v>1.8125344138512406E-3</v>
      </c>
      <c r="I549">
        <f ca="1"/>
        <v>3.6799999999999999E-2</v>
      </c>
      <c r="J549">
        <f ca="1"/>
        <v>46.21452</v>
      </c>
    </row>
    <row r="550" spans="1:10" x14ac:dyDescent="0.25">
      <c r="A550" t="str">
        <v>2015-09-30</v>
      </c>
      <c r="B550">
        <f t="shared" ca="1" si="32"/>
        <v>123.40972159765556</v>
      </c>
      <c r="C550">
        <f ca="1"/>
        <v>237.49799999999999</v>
      </c>
      <c r="D550">
        <f ca="1"/>
        <v>2.1700000000000001E-2</v>
      </c>
      <c r="E550">
        <f t="shared" ca="1" si="33"/>
        <v>1.8083333333333335E-3</v>
      </c>
      <c r="F550">
        <f ca="1"/>
        <v>90.66</v>
      </c>
      <c r="G550">
        <f t="shared" ca="1" si="35"/>
        <v>-2.2475875193775918E-3</v>
      </c>
      <c r="H550">
        <f t="shared" ca="1" si="34"/>
        <v>4.0559208527109255E-3</v>
      </c>
      <c r="I550">
        <f ca="1"/>
        <v>3.73E-2</v>
      </c>
      <c r="J550">
        <f ca="1"/>
        <v>46.567740000000001</v>
      </c>
    </row>
    <row r="551" spans="1:10" x14ac:dyDescent="0.25">
      <c r="A551" t="str">
        <v>2015-10-31</v>
      </c>
      <c r="B551">
        <f t="shared" ca="1" si="32"/>
        <v>121.41560927187223</v>
      </c>
      <c r="C551">
        <f ca="1"/>
        <v>237.733</v>
      </c>
      <c r="D551">
        <f ca="1"/>
        <v>2.07E-2</v>
      </c>
      <c r="E551">
        <f t="shared" ca="1" si="33"/>
        <v>1.725E-3</v>
      </c>
      <c r="F551">
        <f ca="1"/>
        <v>89.283330000000007</v>
      </c>
      <c r="G551">
        <f t="shared" ca="1" si="35"/>
        <v>9.8948201669069036E-4</v>
      </c>
      <c r="H551">
        <f t="shared" ca="1" si="34"/>
        <v>7.3551798330930961E-4</v>
      </c>
      <c r="I551">
        <f ca="1"/>
        <v>3.6400000000000002E-2</v>
      </c>
      <c r="J551">
        <f ca="1"/>
        <v>46.910170000000001</v>
      </c>
    </row>
    <row r="552" spans="1:10" x14ac:dyDescent="0.25">
      <c r="A552" t="str">
        <v>2015-11-30</v>
      </c>
      <c r="B552">
        <f t="shared" ca="1" si="32"/>
        <v>119.4008631777142</v>
      </c>
      <c r="C552">
        <f ca="1"/>
        <v>238.017</v>
      </c>
      <c r="D552">
        <f ca="1"/>
        <v>2.2599999999999999E-2</v>
      </c>
      <c r="E552">
        <f t="shared" ca="1" si="33"/>
        <v>1.8833333333333332E-3</v>
      </c>
      <c r="F552">
        <f ca="1"/>
        <v>87.906670000000005</v>
      </c>
      <c r="G552">
        <f t="shared" ca="1" si="35"/>
        <v>1.1946174910508756E-3</v>
      </c>
      <c r="H552">
        <f t="shared" ca="1" si="34"/>
        <v>6.8871584228245766E-4</v>
      </c>
      <c r="I552">
        <f ca="1"/>
        <v>3.4000000000000002E-2</v>
      </c>
      <c r="J552">
        <f ca="1"/>
        <v>47.33155</v>
      </c>
    </row>
    <row r="553" spans="1:10" x14ac:dyDescent="0.25">
      <c r="A553" t="str">
        <v>2015-12-31</v>
      </c>
      <c r="B553">
        <f t="shared" ca="1" si="32"/>
        <v>117.65752259622057</v>
      </c>
      <c r="C553">
        <f ca="1"/>
        <v>237.761</v>
      </c>
      <c r="D553">
        <f ca="1"/>
        <v>2.24E-2</v>
      </c>
      <c r="E553">
        <f t="shared" ca="1" si="33"/>
        <v>1.8666666666666666E-3</v>
      </c>
      <c r="F553">
        <f ca="1"/>
        <v>86.53</v>
      </c>
      <c r="G553">
        <f t="shared" ca="1" si="35"/>
        <v>-1.0755534268560574E-3</v>
      </c>
      <c r="H553">
        <f t="shared" ca="1" si="34"/>
        <v>2.942220093522724E-3</v>
      </c>
      <c r="I553">
        <f ca="1"/>
        <v>3.4700000000000002E-2</v>
      </c>
      <c r="J553">
        <f ca="1"/>
        <v>47.817100000000003</v>
      </c>
    </row>
    <row r="554" spans="1:10" x14ac:dyDescent="0.25">
      <c r="A554" t="str">
        <v>2016-01-31</v>
      </c>
      <c r="B554">
        <f t="shared" ca="1" si="32"/>
        <v>117.67067603049838</v>
      </c>
      <c r="C554">
        <f ca="1"/>
        <v>237.65199999999999</v>
      </c>
      <c r="D554">
        <f ca="1"/>
        <v>2.0899999999999998E-2</v>
      </c>
      <c r="E554">
        <f t="shared" ca="1" si="33"/>
        <v>1.7416666666666665E-3</v>
      </c>
      <c r="F554">
        <f ca="1"/>
        <v>86.5</v>
      </c>
      <c r="G554">
        <f t="shared" ca="1" si="35"/>
        <v>-4.5844356307389589E-4</v>
      </c>
      <c r="H554">
        <f t="shared" ca="1" si="34"/>
        <v>2.2001102297405624E-3</v>
      </c>
      <c r="I554">
        <f ca="1"/>
        <v>3.8399999999999997E-2</v>
      </c>
      <c r="J554">
        <f ca="1"/>
        <v>47.91789</v>
      </c>
    </row>
    <row r="555" spans="1:10" x14ac:dyDescent="0.25">
      <c r="A555" t="str">
        <v>2016-02-29</v>
      </c>
      <c r="B555">
        <f t="shared" ca="1" si="32"/>
        <v>117.7864831715374</v>
      </c>
      <c r="C555">
        <f ca="1"/>
        <v>237.33600000000001</v>
      </c>
      <c r="D555">
        <f ca="1"/>
        <v>1.78E-2</v>
      </c>
      <c r="E555">
        <f t="shared" ca="1" si="33"/>
        <v>1.4833333333333332E-3</v>
      </c>
      <c r="F555">
        <f ca="1"/>
        <v>86.47</v>
      </c>
      <c r="G555">
        <f t="shared" ca="1" si="35"/>
        <v>-1.3296753235823022E-3</v>
      </c>
      <c r="H555">
        <f t="shared" ca="1" si="34"/>
        <v>2.8130086569156353E-3</v>
      </c>
      <c r="I555">
        <f ca="1"/>
        <v>4.1700000000000001E-2</v>
      </c>
      <c r="J555">
        <f ca="1"/>
        <v>48.058030000000002</v>
      </c>
    </row>
    <row r="556" spans="1:10" x14ac:dyDescent="0.25">
      <c r="A556" t="str">
        <v>2016-03-31</v>
      </c>
      <c r="B556">
        <f t="shared" ca="1" si="32"/>
        <v>117.37766313844085</v>
      </c>
      <c r="C556">
        <f ca="1"/>
        <v>238.08</v>
      </c>
      <c r="D556">
        <f ca="1"/>
        <v>1.89E-2</v>
      </c>
      <c r="E556">
        <f t="shared" ca="1" si="33"/>
        <v>1.575E-3</v>
      </c>
      <c r="F556">
        <f ca="1"/>
        <v>86.44</v>
      </c>
      <c r="G556">
        <f t="shared" ca="1" si="35"/>
        <v>3.1347962382444194E-3</v>
      </c>
      <c r="H556">
        <f t="shared" ca="1" si="34"/>
        <v>-1.5597962382444194E-3</v>
      </c>
      <c r="I556">
        <f ca="1"/>
        <v>3.8199999999999998E-2</v>
      </c>
      <c r="J556">
        <f ca="1"/>
        <v>48.030760000000001</v>
      </c>
    </row>
    <row r="557" spans="1:10" x14ac:dyDescent="0.25">
      <c r="A557" t="str">
        <v>2016-04-30</v>
      </c>
      <c r="B557">
        <f t="shared" ca="1" si="32"/>
        <v>117.14618313583719</v>
      </c>
      <c r="C557">
        <f ca="1"/>
        <v>238.99199999999999</v>
      </c>
      <c r="D557">
        <f ca="1"/>
        <v>1.8100000000000002E-2</v>
      </c>
      <c r="E557">
        <f t="shared" ca="1" si="33"/>
        <v>1.5083333333333335E-3</v>
      </c>
      <c r="F557">
        <f ca="1"/>
        <v>86.6</v>
      </c>
      <c r="G557">
        <f t="shared" ca="1" si="35"/>
        <v>3.8306451612901693E-3</v>
      </c>
      <c r="H557">
        <f t="shared" ca="1" si="34"/>
        <v>-2.3223118279568356E-3</v>
      </c>
      <c r="I557">
        <f ca="1"/>
        <v>3.78E-2</v>
      </c>
      <c r="J557">
        <f ca="1"/>
        <v>48.014740000000003</v>
      </c>
    </row>
    <row r="558" spans="1:10" x14ac:dyDescent="0.25">
      <c r="A558" t="str">
        <v>2016-05-31</v>
      </c>
      <c r="B558">
        <f t="shared" ca="1" si="32"/>
        <v>117.08581740462606</v>
      </c>
      <c r="C558">
        <f ca="1"/>
        <v>239.55699999999999</v>
      </c>
      <c r="D558">
        <f ca="1"/>
        <v>1.8100000000000002E-2</v>
      </c>
      <c r="E558">
        <f t="shared" ca="1" si="33"/>
        <v>1.5083333333333335E-3</v>
      </c>
      <c r="F558">
        <f ca="1"/>
        <v>86.76</v>
      </c>
      <c r="G558">
        <f t="shared" ca="1" si="35"/>
        <v>2.3640958693178504E-3</v>
      </c>
      <c r="H558">
        <f t="shared" ca="1" si="34"/>
        <v>-8.557625359845169E-4</v>
      </c>
      <c r="I558">
        <f ca="1"/>
        <v>3.8100000000000002E-2</v>
      </c>
      <c r="J558">
        <f ca="1"/>
        <v>48.031039999999997</v>
      </c>
    </row>
    <row r="559" spans="1:10" x14ac:dyDescent="0.25">
      <c r="A559" t="str">
        <v>2016-06-30</v>
      </c>
      <c r="B559">
        <f t="shared" ca="1" si="32"/>
        <v>116.97702008975031</v>
      </c>
      <c r="C559">
        <f ca="1"/>
        <v>240.22200000000001</v>
      </c>
      <c r="D559">
        <f ca="1"/>
        <v>1.6400000000000001E-2</v>
      </c>
      <c r="E559">
        <f t="shared" ca="1" si="33"/>
        <v>1.3666666666666669E-3</v>
      </c>
      <c r="F559">
        <f ca="1"/>
        <v>86.92</v>
      </c>
      <c r="G559">
        <f t="shared" ca="1" si="35"/>
        <v>2.7759572878272021E-3</v>
      </c>
      <c r="H559">
        <f t="shared" ca="1" si="34"/>
        <v>-1.4092906211605352E-3</v>
      </c>
      <c r="I559">
        <f ca="1"/>
        <v>3.9699999999999999E-2</v>
      </c>
      <c r="J559">
        <f ca="1"/>
        <v>48.082900000000002</v>
      </c>
    </row>
    <row r="560" spans="1:10" x14ac:dyDescent="0.25">
      <c r="A560" t="str">
        <v>2016-07-31</v>
      </c>
      <c r="B560">
        <f t="shared" ca="1" si="32"/>
        <v>118.00991998796341</v>
      </c>
      <c r="C560">
        <f ca="1"/>
        <v>240.101</v>
      </c>
      <c r="D560">
        <f ca="1"/>
        <v>1.4999999999999999E-2</v>
      </c>
      <c r="E560">
        <f t="shared" ca="1" si="33"/>
        <v>1.25E-3</v>
      </c>
      <c r="F560">
        <f ca="1"/>
        <v>87.643330000000006</v>
      </c>
      <c r="G560">
        <f t="shared" ca="1" si="35"/>
        <v>-5.0370074347894089E-4</v>
      </c>
      <c r="H560">
        <f t="shared" ca="1" si="34"/>
        <v>1.7537007434789409E-3</v>
      </c>
      <c r="I560">
        <f ca="1"/>
        <v>3.9399999999999998E-2</v>
      </c>
      <c r="J560">
        <f ca="1"/>
        <v>48.366639999999997</v>
      </c>
    </row>
    <row r="561" spans="1:10" x14ac:dyDescent="0.25">
      <c r="A561" t="str">
        <v>2016-08-31</v>
      </c>
      <c r="B561">
        <f t="shared" ca="1" si="32"/>
        <v>118.76426078683822</v>
      </c>
      <c r="C561">
        <f ca="1"/>
        <v>240.54499999999999</v>
      </c>
      <c r="D561">
        <f ca="1"/>
        <v>1.5599999999999999E-2</v>
      </c>
      <c r="E561">
        <f t="shared" ca="1" si="33"/>
        <v>1.2999999999999999E-3</v>
      </c>
      <c r="F561">
        <f ca="1"/>
        <v>88.366669999999999</v>
      </c>
      <c r="G561">
        <f t="shared" ca="1" si="35"/>
        <v>1.8492217858316895E-3</v>
      </c>
      <c r="H561">
        <f t="shared" ca="1" si="34"/>
        <v>-5.4922178583168956E-4</v>
      </c>
      <c r="I561">
        <f ca="1"/>
        <v>3.8300000000000001E-2</v>
      </c>
      <c r="J561">
        <f ca="1"/>
        <v>48.527889999999999</v>
      </c>
    </row>
    <row r="562" spans="1:10" x14ac:dyDescent="0.25">
      <c r="A562" t="str">
        <v>2016-09-30</v>
      </c>
      <c r="B562">
        <f t="shared" ca="1" si="32"/>
        <v>119.42313990612666</v>
      </c>
      <c r="C562">
        <f ca="1"/>
        <v>241.17599999999999</v>
      </c>
      <c r="D562">
        <f ca="1"/>
        <v>1.6299999999999999E-2</v>
      </c>
      <c r="E562">
        <f t="shared" ca="1" si="33"/>
        <v>1.3583333333333331E-3</v>
      </c>
      <c r="F562">
        <f ca="1"/>
        <v>89.09</v>
      </c>
      <c r="G562">
        <f t="shared" ca="1" si="35"/>
        <v>2.6232097944252075E-3</v>
      </c>
      <c r="H562">
        <f t="shared" ca="1" si="34"/>
        <v>-1.2648764610918744E-3</v>
      </c>
      <c r="I562">
        <f ca="1"/>
        <v>3.8699999999999998E-2</v>
      </c>
      <c r="J562">
        <f ca="1"/>
        <v>48.616639999999997</v>
      </c>
    </row>
    <row r="563" spans="1:10" x14ac:dyDescent="0.25">
      <c r="A563" t="str">
        <v>2016-10-31</v>
      </c>
      <c r="B563">
        <f t="shared" ca="1" si="32"/>
        <v>121.57798970799325</v>
      </c>
      <c r="C563">
        <f ca="1"/>
        <v>241.74100000000001</v>
      </c>
      <c r="D563">
        <f ca="1"/>
        <v>1.7600000000000001E-2</v>
      </c>
      <c r="E563">
        <f t="shared" ca="1" si="33"/>
        <v>1.4666666666666667E-3</v>
      </c>
      <c r="F563">
        <f ca="1"/>
        <v>90.91</v>
      </c>
      <c r="G563">
        <f t="shared" ca="1" si="35"/>
        <v>2.3426874979268764E-3</v>
      </c>
      <c r="H563">
        <f t="shared" ca="1" si="34"/>
        <v>-8.7602083126020968E-4</v>
      </c>
      <c r="I563">
        <f ca="1"/>
        <v>3.8300000000000001E-2</v>
      </c>
      <c r="J563">
        <f ca="1"/>
        <v>48.796930000000003</v>
      </c>
    </row>
    <row r="564" spans="1:10" x14ac:dyDescent="0.25">
      <c r="A564" t="str">
        <v>2016-11-30</v>
      </c>
      <c r="B564">
        <f t="shared" ca="1" si="32"/>
        <v>123.86592527249138</v>
      </c>
      <c r="C564">
        <f ca="1"/>
        <v>242.02600000000001</v>
      </c>
      <c r="D564">
        <f ca="1"/>
        <v>2.1399999999999999E-2</v>
      </c>
      <c r="E564">
        <f t="shared" ca="1" si="33"/>
        <v>1.7833333333333332E-3</v>
      </c>
      <c r="F564">
        <f ca="1"/>
        <v>92.73</v>
      </c>
      <c r="G564">
        <f t="shared" ca="1" si="35"/>
        <v>1.1789477167711837E-3</v>
      </c>
      <c r="H564">
        <f t="shared" ca="1" si="34"/>
        <v>6.0438561656214946E-4</v>
      </c>
      <c r="I564">
        <f ca="1"/>
        <v>3.4099999999999998E-2</v>
      </c>
      <c r="J564">
        <f ca="1"/>
        <v>49.114139999999999</v>
      </c>
    </row>
    <row r="565" spans="1:10" x14ac:dyDescent="0.25">
      <c r="A565" t="str">
        <v>2016-12-31</v>
      </c>
      <c r="B565">
        <f t="shared" ca="1" si="32"/>
        <v>125.97898939568161</v>
      </c>
      <c r="C565">
        <f ca="1"/>
        <v>242.637</v>
      </c>
      <c r="D565">
        <f ca="1"/>
        <v>2.4899999999999999E-2</v>
      </c>
      <c r="E565">
        <f t="shared" ca="1" si="33"/>
        <v>2.075E-3</v>
      </c>
      <c r="F565">
        <f ca="1"/>
        <v>94.55</v>
      </c>
      <c r="G565">
        <f t="shared" ca="1" si="35"/>
        <v>2.5245221587761879E-3</v>
      </c>
      <c r="H565">
        <f t="shared" ca="1" si="34"/>
        <v>-4.4952215877618789E-4</v>
      </c>
      <c r="I565">
        <f ca="1"/>
        <v>2.9100000000000001E-2</v>
      </c>
      <c r="J565">
        <f ca="1"/>
        <v>49.339190000000002</v>
      </c>
    </row>
    <row r="566" spans="1:10" x14ac:dyDescent="0.25">
      <c r="A566" t="str">
        <v>2017-01-31</v>
      </c>
      <c r="B566">
        <f t="shared" ca="1" si="32"/>
        <v>128.00971356633281</v>
      </c>
      <c r="C566">
        <f ca="1"/>
        <v>243.62</v>
      </c>
      <c r="D566">
        <f ca="1"/>
        <v>2.4299999999999999E-2</v>
      </c>
      <c r="E566">
        <f t="shared" ca="1" si="33"/>
        <v>2.0249999999999999E-3</v>
      </c>
      <c r="F566">
        <f ca="1"/>
        <v>96.463329999999999</v>
      </c>
      <c r="G566">
        <f t="shared" ca="1" si="35"/>
        <v>4.0513194607583181E-3</v>
      </c>
      <c r="H566">
        <f t="shared" ca="1" si="34"/>
        <v>-2.0263194607583182E-3</v>
      </c>
      <c r="I566">
        <f ca="1"/>
        <v>2.9700000000000001E-2</v>
      </c>
      <c r="J566">
        <f ca="1"/>
        <v>49.296619999999997</v>
      </c>
    </row>
    <row r="567" spans="1:10" x14ac:dyDescent="0.25">
      <c r="A567" t="str">
        <v>2017-02-28</v>
      </c>
      <c r="B567">
        <f t="shared" ca="1" si="32"/>
        <v>130.41387293731958</v>
      </c>
      <c r="C567">
        <f ca="1"/>
        <v>243.87200000000001</v>
      </c>
      <c r="D567">
        <f ca="1"/>
        <v>2.4199999999999999E-2</v>
      </c>
      <c r="E567">
        <f t="shared" ca="1" si="33"/>
        <v>2.0166666666666666E-3</v>
      </c>
      <c r="F567">
        <f ca="1"/>
        <v>98.376670000000004</v>
      </c>
      <c r="G567">
        <f t="shared" ca="1" si="35"/>
        <v>1.0343978326903258E-3</v>
      </c>
      <c r="H567">
        <f t="shared" ca="1" si="34"/>
        <v>9.8226883397634079E-4</v>
      </c>
      <c r="I567">
        <f ca="1"/>
        <v>2.8799999999999999E-2</v>
      </c>
      <c r="J567">
        <f ca="1"/>
        <v>49.384549999999997</v>
      </c>
    </row>
    <row r="568" spans="1:10" x14ac:dyDescent="0.25">
      <c r="A568" t="str">
        <v>2017-03-31</v>
      </c>
      <c r="B568">
        <f t="shared" ca="1" si="32"/>
        <v>133.00810773446668</v>
      </c>
      <c r="C568">
        <f ca="1"/>
        <v>243.76599999999999</v>
      </c>
      <c r="D568">
        <f ca="1"/>
        <v>2.4799999999999999E-2</v>
      </c>
      <c r="E568">
        <f t="shared" ca="1" si="33"/>
        <v>2.0666666666666667E-3</v>
      </c>
      <c r="F568">
        <f ca="1"/>
        <v>100.29</v>
      </c>
      <c r="G568">
        <f t="shared" ca="1" si="35"/>
        <v>-4.346542448498969E-4</v>
      </c>
      <c r="H568">
        <f t="shared" ca="1" si="34"/>
        <v>2.5013209115165636E-3</v>
      </c>
      <c r="I568">
        <f ca="1"/>
        <v>2.69E-2</v>
      </c>
      <c r="J568">
        <f ca="1"/>
        <v>49.586779999999997</v>
      </c>
    </row>
    <row r="569" spans="1:10" x14ac:dyDescent="0.25">
      <c r="A569" t="str">
        <v>2017-04-30</v>
      </c>
      <c r="B569">
        <f t="shared" ca="1" si="32"/>
        <v>134.37701838521497</v>
      </c>
      <c r="C569">
        <f ca="1"/>
        <v>244.274</v>
      </c>
      <c r="D569">
        <f ca="1"/>
        <v>2.3E-2</v>
      </c>
      <c r="E569">
        <f t="shared" ca="1" si="33"/>
        <v>1.9166666666666666E-3</v>
      </c>
      <c r="F569">
        <f ca="1"/>
        <v>101.53333000000001</v>
      </c>
      <c r="G569">
        <f t="shared" ca="1" si="35"/>
        <v>2.083965770452112E-3</v>
      </c>
      <c r="H569">
        <f t="shared" ca="1" si="34"/>
        <v>-1.6729910378544539E-4</v>
      </c>
      <c r="I569">
        <f ca="1"/>
        <v>2.86E-2</v>
      </c>
      <c r="J569">
        <f ca="1"/>
        <v>49.738639999999997</v>
      </c>
    </row>
    <row r="570" spans="1:10" x14ac:dyDescent="0.25">
      <c r="A570" t="str">
        <v>2017-05-31</v>
      </c>
      <c r="B570">
        <f t="shared" ca="1" si="32"/>
        <v>136.1367991058676</v>
      </c>
      <c r="C570">
        <f ca="1"/>
        <v>244.06899999999999</v>
      </c>
      <c r="D570">
        <f ca="1"/>
        <v>2.3E-2</v>
      </c>
      <c r="E570">
        <f t="shared" ca="1" si="33"/>
        <v>1.9166666666666666E-3</v>
      </c>
      <c r="F570">
        <f ca="1"/>
        <v>102.77667</v>
      </c>
      <c r="G570">
        <f t="shared" ca="1" si="35"/>
        <v>-8.3922152992133014E-4</v>
      </c>
      <c r="H570">
        <f t="shared" ca="1" si="34"/>
        <v>2.7558881965879965E-3</v>
      </c>
      <c r="I570">
        <f ca="1"/>
        <v>2.75E-2</v>
      </c>
      <c r="J570">
        <f ca="1"/>
        <v>49.99438</v>
      </c>
    </row>
    <row r="571" spans="1:10" x14ac:dyDescent="0.25">
      <c r="A571" t="str">
        <v>2017-06-30</v>
      </c>
      <c r="B571">
        <f t="shared" ca="1" si="32"/>
        <v>137.69963647233212</v>
      </c>
      <c r="C571">
        <f ca="1"/>
        <v>244.21799999999999</v>
      </c>
      <c r="D571">
        <f ca="1"/>
        <v>2.1899999999999999E-2</v>
      </c>
      <c r="E571">
        <f t="shared" ca="1" si="33"/>
        <v>1.825E-3</v>
      </c>
      <c r="F571">
        <f ca="1"/>
        <v>104.02</v>
      </c>
      <c r="G571">
        <f t="shared" ca="1" si="35"/>
        <v>6.1048310109024229E-4</v>
      </c>
      <c r="H571">
        <f t="shared" ca="1" si="34"/>
        <v>1.2145168989097577E-3</v>
      </c>
      <c r="I571">
        <f ca="1"/>
        <v>2.8000000000000001E-2</v>
      </c>
      <c r="J571">
        <f ca="1"/>
        <v>50.247019999999999</v>
      </c>
    </row>
    <row r="572" spans="1:10" x14ac:dyDescent="0.25">
      <c r="A572" t="str">
        <v>2017-07-31</v>
      </c>
      <c r="B572">
        <f t="shared" ca="1" si="32"/>
        <v>139.0146006222368</v>
      </c>
      <c r="C572">
        <f ca="1"/>
        <v>244.28</v>
      </c>
      <c r="D572">
        <f ca="1"/>
        <v>2.3199999999999998E-2</v>
      </c>
      <c r="E572">
        <f t="shared" ca="1" si="33"/>
        <v>1.9333333333333331E-3</v>
      </c>
      <c r="F572">
        <f ca="1"/>
        <v>105.04</v>
      </c>
      <c r="G572">
        <f t="shared" ca="1" si="35"/>
        <v>2.5387154100031672E-4</v>
      </c>
      <c r="H572">
        <f t="shared" ca="1" si="34"/>
        <v>1.6794617923330164E-3</v>
      </c>
      <c r="I572">
        <f ca="1"/>
        <v>2.64E-2</v>
      </c>
      <c r="J572">
        <f ca="1"/>
        <v>50.61891</v>
      </c>
    </row>
    <row r="573" spans="1:10" x14ac:dyDescent="0.25">
      <c r="A573" t="str">
        <v>2017-08-31</v>
      </c>
      <c r="B573">
        <f t="shared" ca="1" si="32"/>
        <v>139.83500931873328</v>
      </c>
      <c r="C573">
        <f ca="1"/>
        <v>245.20500000000001</v>
      </c>
      <c r="D573">
        <f ca="1"/>
        <v>2.2100000000000002E-2</v>
      </c>
      <c r="E573">
        <f t="shared" ca="1" si="33"/>
        <v>1.8416666666666668E-3</v>
      </c>
      <c r="F573">
        <f ca="1"/>
        <v>106.06</v>
      </c>
      <c r="G573">
        <f t="shared" ca="1" si="35"/>
        <v>3.7866382839364388E-3</v>
      </c>
      <c r="H573">
        <f t="shared" ca="1" si="34"/>
        <v>-1.944971617269772E-3</v>
      </c>
      <c r="I573">
        <f ca="1"/>
        <v>2.81E-2</v>
      </c>
      <c r="J573">
        <f ca="1"/>
        <v>50.803980000000003</v>
      </c>
    </row>
    <row r="574" spans="1:10" x14ac:dyDescent="0.25">
      <c r="A574" t="str">
        <v>2017-09-30</v>
      </c>
      <c r="B574">
        <f t="shared" ca="1" si="32"/>
        <v>140.40908485465482</v>
      </c>
      <c r="C574">
        <f ca="1"/>
        <v>246.55099999999999</v>
      </c>
      <c r="D574">
        <f ca="1"/>
        <v>2.1999999999999999E-2</v>
      </c>
      <c r="E574">
        <f t="shared" ca="1" si="33"/>
        <v>1.8333333333333333E-3</v>
      </c>
      <c r="F574">
        <f ca="1"/>
        <v>107.08</v>
      </c>
      <c r="G574">
        <f t="shared" ca="1" si="35"/>
        <v>5.489284476254408E-3</v>
      </c>
      <c r="H574">
        <f t="shared" ca="1" si="34"/>
        <v>-3.6559511429210744E-3</v>
      </c>
      <c r="I574">
        <f ca="1"/>
        <v>2.8199999999999999E-2</v>
      </c>
      <c r="J574">
        <f ca="1"/>
        <v>50.870820000000002</v>
      </c>
    </row>
    <row r="575" spans="1:10" x14ac:dyDescent="0.25">
      <c r="A575" t="str">
        <v>2017-10-31</v>
      </c>
      <c r="B575">
        <f t="shared" ca="1" si="32"/>
        <v>141.57205134672844</v>
      </c>
      <c r="C575">
        <f ca="1"/>
        <v>246.65700000000001</v>
      </c>
      <c r="D575">
        <f ca="1"/>
        <v>2.3599999999999999E-2</v>
      </c>
      <c r="E575">
        <f t="shared" ca="1" si="33"/>
        <v>1.9666666666666665E-3</v>
      </c>
      <c r="F575">
        <f ca="1"/>
        <v>108.01333</v>
      </c>
      <c r="G575">
        <f t="shared" ca="1" si="35"/>
        <v>4.2993133266544525E-4</v>
      </c>
      <c r="H575">
        <f t="shared" ca="1" si="34"/>
        <v>1.5367353340012212E-3</v>
      </c>
      <c r="I575">
        <f ca="1"/>
        <v>2.5499999999999998E-2</v>
      </c>
      <c r="J575">
        <f ca="1"/>
        <v>51.17069</v>
      </c>
    </row>
    <row r="576" spans="1:10" x14ac:dyDescent="0.25">
      <c r="A576" t="str">
        <v>2017-11-30</v>
      </c>
      <c r="B576">
        <f t="shared" ca="1" si="32"/>
        <v>142.37918445039574</v>
      </c>
      <c r="C576">
        <f ca="1"/>
        <v>247.37799999999999</v>
      </c>
      <c r="D576">
        <f ca="1"/>
        <v>2.35E-2</v>
      </c>
      <c r="E576">
        <f t="shared" ca="1" si="33"/>
        <v>1.9583333333333332E-3</v>
      </c>
      <c r="F576">
        <f ca="1"/>
        <v>108.94667</v>
      </c>
      <c r="G576">
        <f t="shared" ca="1" si="35"/>
        <v>2.9230875264030232E-3</v>
      </c>
      <c r="H576">
        <f t="shared" ca="1" si="34"/>
        <v>-9.6475419306968997E-4</v>
      </c>
      <c r="I576">
        <f ca="1"/>
        <v>2.46E-2</v>
      </c>
      <c r="J576">
        <f ca="1"/>
        <v>51.437150000000003</v>
      </c>
    </row>
    <row r="577" spans="1:10" x14ac:dyDescent="0.25">
      <c r="A577" t="str">
        <v>2017-12-31</v>
      </c>
      <c r="B577">
        <f t="shared" ca="1" si="32"/>
        <v>143.39141295572708</v>
      </c>
      <c r="C577">
        <f ca="1"/>
        <v>247.73599999999999</v>
      </c>
      <c r="D577">
        <f ca="1"/>
        <v>2.4E-2</v>
      </c>
      <c r="E577">
        <f t="shared" ca="1" si="33"/>
        <v>2E-3</v>
      </c>
      <c r="F577">
        <f ca="1"/>
        <v>109.88</v>
      </c>
      <c r="G577">
        <f t="shared" ca="1" si="35"/>
        <v>1.4471780028944004E-3</v>
      </c>
      <c r="H577">
        <f t="shared" ca="1" si="34"/>
        <v>5.5282199710559969E-4</v>
      </c>
      <c r="I577">
        <f ca="1"/>
        <v>2.3300000000000001E-2</v>
      </c>
      <c r="J577">
        <f ca="1"/>
        <v>51.735259999999997</v>
      </c>
    </row>
    <row r="578" spans="1:10" x14ac:dyDescent="0.25">
      <c r="A578" t="str">
        <v>2018-01-31</v>
      </c>
      <c r="B578">
        <f t="shared" ref="B578:B641" ca="1" si="36">F578*$C$669/C578</f>
        <v>145.23252957743816</v>
      </c>
      <c r="C578">
        <f ca="1"/>
        <v>248.721</v>
      </c>
      <c r="D578">
        <f ca="1"/>
        <v>2.58E-2</v>
      </c>
      <c r="E578">
        <f t="shared" ca="1" si="33"/>
        <v>2.15E-3</v>
      </c>
      <c r="F578">
        <f ca="1"/>
        <v>111.73333</v>
      </c>
      <c r="G578">
        <f t="shared" ca="1" si="35"/>
        <v>3.9760067168277402E-3</v>
      </c>
      <c r="H578">
        <f t="shared" ca="1" si="34"/>
        <v>-1.8260067168277402E-3</v>
      </c>
      <c r="I578">
        <f ca="1"/>
        <v>2.0400000000000001E-2</v>
      </c>
      <c r="J578">
        <f ca="1"/>
        <v>51.830019999999998</v>
      </c>
    </row>
    <row r="579" spans="1:10" x14ac:dyDescent="0.25">
      <c r="A579" t="str">
        <v>2018-02-28</v>
      </c>
      <c r="B579">
        <f t="shared" ca="1" si="36"/>
        <v>147.29862868419573</v>
      </c>
      <c r="C579">
        <f ca="1"/>
        <v>249.3</v>
      </c>
      <c r="D579">
        <f ca="1"/>
        <v>2.86E-2</v>
      </c>
      <c r="E579">
        <f t="shared" ref="E579:E642" ca="1" si="37">D579/12</f>
        <v>2.3833333333333332E-3</v>
      </c>
      <c r="F579">
        <f ca="1"/>
        <v>113.58667</v>
      </c>
      <c r="G579">
        <f t="shared" ca="1" si="35"/>
        <v>2.3279095854391585E-3</v>
      </c>
      <c r="H579">
        <f t="shared" ref="H579:H642" ca="1" si="38">E579-G579</f>
        <v>5.5423747894174733E-5</v>
      </c>
      <c r="I579">
        <f ca="1"/>
        <v>1.9E-2</v>
      </c>
      <c r="J579">
        <f ca="1"/>
        <v>51.969430000000003</v>
      </c>
    </row>
    <row r="580" spans="1:10" x14ac:dyDescent="0.25">
      <c r="A580" t="str">
        <v>2018-03-31</v>
      </c>
      <c r="B580">
        <f t="shared" ca="1" si="36"/>
        <v>149.57182492575657</v>
      </c>
      <c r="C580">
        <f ca="1"/>
        <v>249.517</v>
      </c>
      <c r="D580">
        <f ca="1"/>
        <v>2.8400000000000002E-2</v>
      </c>
      <c r="E580">
        <f t="shared" ca="1" si="37"/>
        <v>2.3666666666666667E-3</v>
      </c>
      <c r="F580">
        <f ca="1"/>
        <v>115.44</v>
      </c>
      <c r="G580">
        <f t="shared" ref="G580:G643" ca="1" si="39">C580/C579-1</f>
        <v>8.7043722422786018E-4</v>
      </c>
      <c r="H580">
        <f t="shared" ca="1" si="38"/>
        <v>1.4962294424388065E-3</v>
      </c>
      <c r="I580">
        <f ca="1"/>
        <v>1.8800000000000001E-2</v>
      </c>
      <c r="J580">
        <f ca="1"/>
        <v>52.224719999999998</v>
      </c>
    </row>
    <row r="581" spans="1:10" x14ac:dyDescent="0.25">
      <c r="A581" t="str">
        <v>2018-04-30</v>
      </c>
      <c r="B581">
        <f t="shared" ca="1" si="36"/>
        <v>152.15011619606432</v>
      </c>
      <c r="C581">
        <f ca="1"/>
        <v>250.27500000000001</v>
      </c>
      <c r="D581">
        <f ca="1"/>
        <v>2.87E-2</v>
      </c>
      <c r="E581">
        <f t="shared" ca="1" si="37"/>
        <v>2.3916666666666665E-3</v>
      </c>
      <c r="F581">
        <f ca="1"/>
        <v>117.78667</v>
      </c>
      <c r="G581">
        <f t="shared" ca="1" si="39"/>
        <v>3.0378691632233501E-3</v>
      </c>
      <c r="H581">
        <f t="shared" ca="1" si="38"/>
        <v>-6.4620249655668359E-4</v>
      </c>
      <c r="I581">
        <f ca="1"/>
        <v>1.9099999999999999E-2</v>
      </c>
      <c r="J581">
        <f ca="1"/>
        <v>52.361260000000001</v>
      </c>
    </row>
    <row r="582" spans="1:10" x14ac:dyDescent="0.25">
      <c r="A582" t="str">
        <v>2018-05-31</v>
      </c>
      <c r="B582">
        <f t="shared" ca="1" si="36"/>
        <v>154.8652013630346</v>
      </c>
      <c r="C582">
        <f ca="1"/>
        <v>250.786</v>
      </c>
      <c r="D582">
        <f ca="1"/>
        <v>2.98E-2</v>
      </c>
      <c r="E582">
        <f t="shared" ca="1" si="37"/>
        <v>2.4833333333333335E-3</v>
      </c>
      <c r="F582">
        <f ca="1"/>
        <v>120.13333</v>
      </c>
      <c r="G582">
        <f t="shared" ca="1" si="39"/>
        <v>2.041754070522428E-3</v>
      </c>
      <c r="H582">
        <f t="shared" ca="1" si="38"/>
        <v>4.4157926281090552E-4</v>
      </c>
      <c r="I582">
        <f ca="1"/>
        <v>1.7299999999999999E-2</v>
      </c>
      <c r="J582">
        <f ca="1"/>
        <v>52.486289999999997</v>
      </c>
    </row>
    <row r="583" spans="1:10" x14ac:dyDescent="0.25">
      <c r="A583" t="str">
        <v>2018-06-30</v>
      </c>
      <c r="B583">
        <f t="shared" ca="1" si="36"/>
        <v>157.66022838759</v>
      </c>
      <c r="C583">
        <f ca="1"/>
        <v>251.15199999999999</v>
      </c>
      <c r="D583">
        <f ca="1"/>
        <v>2.9100000000000001E-2</v>
      </c>
      <c r="E583">
        <f t="shared" ca="1" si="37"/>
        <v>2.4250000000000001E-3</v>
      </c>
      <c r="F583">
        <f ca="1"/>
        <v>122.48</v>
      </c>
      <c r="G583">
        <f t="shared" ca="1" si="39"/>
        <v>1.4594116098984866E-3</v>
      </c>
      <c r="H583">
        <f t="shared" ca="1" si="38"/>
        <v>9.6558839010151346E-4</v>
      </c>
      <c r="I583">
        <f ca="1"/>
        <v>1.67E-2</v>
      </c>
      <c r="J583">
        <f ca="1"/>
        <v>52.744120000000002</v>
      </c>
    </row>
    <row r="584" spans="1:10" x14ac:dyDescent="0.25">
      <c r="A584" t="str">
        <v>2018-07-31</v>
      </c>
      <c r="B584">
        <f t="shared" ca="1" si="36"/>
        <v>160.93056699345522</v>
      </c>
      <c r="C584">
        <f ca="1"/>
        <v>251.345</v>
      </c>
      <c r="D584">
        <f ca="1"/>
        <v>2.8899999999999999E-2</v>
      </c>
      <c r="E584">
        <f t="shared" ca="1" si="37"/>
        <v>2.4083333333333331E-3</v>
      </c>
      <c r="F584">
        <f ca="1"/>
        <v>125.11667</v>
      </c>
      <c r="G584">
        <f t="shared" ca="1" si="39"/>
        <v>7.6845894119892399E-4</v>
      </c>
      <c r="H584">
        <f t="shared" ca="1" si="38"/>
        <v>1.6398743921344091E-3</v>
      </c>
      <c r="I584">
        <f ca="1"/>
        <v>1.6199999999999999E-2</v>
      </c>
      <c r="J584">
        <f ca="1"/>
        <v>53.206009999999999</v>
      </c>
    </row>
    <row r="585" spans="1:10" x14ac:dyDescent="0.25">
      <c r="A585" t="str">
        <v>2018-08-31</v>
      </c>
      <c r="B585">
        <f t="shared" ca="1" si="36"/>
        <v>164.06737962154645</v>
      </c>
      <c r="C585">
        <f ca="1"/>
        <v>251.73500000000001</v>
      </c>
      <c r="D585">
        <f ca="1"/>
        <v>2.8899999999999999E-2</v>
      </c>
      <c r="E585">
        <f t="shared" ca="1" si="37"/>
        <v>2.4083333333333331E-3</v>
      </c>
      <c r="F585">
        <f ca="1"/>
        <v>127.75333000000001</v>
      </c>
      <c r="G585">
        <f t="shared" ca="1" si="39"/>
        <v>1.5516521116394344E-3</v>
      </c>
      <c r="H585">
        <f t="shared" ca="1" si="38"/>
        <v>8.5668122169389868E-4</v>
      </c>
      <c r="I585">
        <f ca="1"/>
        <v>1.61E-2</v>
      </c>
      <c r="J585">
        <f ca="1"/>
        <v>53.641660000000002</v>
      </c>
    </row>
    <row r="586" spans="1:10" x14ac:dyDescent="0.25">
      <c r="A586" t="str">
        <v>2018-09-30</v>
      </c>
      <c r="B586">
        <f t="shared" ca="1" si="36"/>
        <v>167.15604735450049</v>
      </c>
      <c r="C586">
        <f ca="1"/>
        <v>252.18299999999999</v>
      </c>
      <c r="D586">
        <f ca="1"/>
        <v>0.03</v>
      </c>
      <c r="E586">
        <f t="shared" ca="1" si="37"/>
        <v>2.5000000000000001E-3</v>
      </c>
      <c r="F586">
        <f ca="1"/>
        <v>130.38999999999999</v>
      </c>
      <c r="G586">
        <f t="shared" ca="1" si="39"/>
        <v>1.7796492343138404E-3</v>
      </c>
      <c r="H586">
        <f t="shared" ca="1" si="38"/>
        <v>7.2035076568615969E-4</v>
      </c>
      <c r="I586">
        <f ca="1"/>
        <v>1.5100000000000001E-2</v>
      </c>
      <c r="J586">
        <f ca="1"/>
        <v>54.044049999999999</v>
      </c>
    </row>
    <row r="587" spans="1:10" x14ac:dyDescent="0.25">
      <c r="A587" t="str">
        <v>2018-10-31</v>
      </c>
      <c r="B587">
        <f t="shared" ca="1" si="36"/>
        <v>167.53503137999755</v>
      </c>
      <c r="C587">
        <f ca="1"/>
        <v>252.899</v>
      </c>
      <c r="D587">
        <f ca="1"/>
        <v>3.15E-2</v>
      </c>
      <c r="E587">
        <f t="shared" ca="1" si="37"/>
        <v>2.6250000000000002E-3</v>
      </c>
      <c r="F587">
        <f ca="1"/>
        <v>131.05667</v>
      </c>
      <c r="G587">
        <f t="shared" ca="1" si="39"/>
        <v>2.8392080354346927E-3</v>
      </c>
      <c r="H587">
        <f t="shared" ca="1" si="38"/>
        <v>-2.1420803543469253E-4</v>
      </c>
      <c r="I587">
        <f ca="1"/>
        <v>1.6299999999999999E-2</v>
      </c>
      <c r="J587">
        <f ca="1"/>
        <v>54.43318</v>
      </c>
    </row>
    <row r="588" spans="1:10" x14ac:dyDescent="0.25">
      <c r="A588" t="str">
        <v>2018-11-30</v>
      </c>
      <c r="B588">
        <f t="shared" ca="1" si="36"/>
        <v>168.438534142717</v>
      </c>
      <c r="C588">
        <f ca="1"/>
        <v>252.822</v>
      </c>
      <c r="D588">
        <f ca="1"/>
        <v>3.1199999999999999E-2</v>
      </c>
      <c r="E588">
        <f t="shared" ca="1" si="37"/>
        <v>2.5999999999999999E-3</v>
      </c>
      <c r="F588">
        <f ca="1"/>
        <v>131.72333</v>
      </c>
      <c r="G588">
        <f t="shared" ca="1" si="39"/>
        <v>-3.0446937314898559E-4</v>
      </c>
      <c r="H588">
        <f t="shared" ca="1" si="38"/>
        <v>2.9044693731489855E-3</v>
      </c>
      <c r="I588">
        <f ca="1"/>
        <v>1.9199999999999998E-2</v>
      </c>
      <c r="J588">
        <f ca="1"/>
        <v>55.10219</v>
      </c>
    </row>
    <row r="589" spans="1:10" x14ac:dyDescent="0.25">
      <c r="A589" t="str">
        <v>2018-12-31</v>
      </c>
      <c r="B589">
        <f t="shared" ca="1" si="36"/>
        <v>169.5116121635055</v>
      </c>
      <c r="C589">
        <f ca="1"/>
        <v>252.49299999999999</v>
      </c>
      <c r="D589">
        <f ca="1"/>
        <v>2.8299999999999999E-2</v>
      </c>
      <c r="E589">
        <f t="shared" ca="1" si="37"/>
        <v>2.3583333333333334E-3</v>
      </c>
      <c r="F589">
        <f ca="1"/>
        <v>132.38999999999999</v>
      </c>
      <c r="G589">
        <f t="shared" ca="1" si="39"/>
        <v>-1.3013108036484811E-3</v>
      </c>
      <c r="H589">
        <f t="shared" ca="1" si="38"/>
        <v>3.6596441369818144E-3</v>
      </c>
      <c r="I589">
        <f ca="1"/>
        <v>2.5000000000000001E-2</v>
      </c>
      <c r="J589">
        <f ca="1"/>
        <v>56.1419</v>
      </c>
    </row>
    <row r="590" spans="1:10" x14ac:dyDescent="0.25">
      <c r="A590" t="str">
        <v>2019-01-31</v>
      </c>
      <c r="B590">
        <f t="shared" ca="1" si="36"/>
        <v>170.40030700627076</v>
      </c>
      <c r="C590">
        <f ca="1"/>
        <v>252.441</v>
      </c>
      <c r="D590">
        <f ca="1"/>
        <v>2.7099999999999999E-2</v>
      </c>
      <c r="E590">
        <f t="shared" ca="1" si="37"/>
        <v>2.2583333333333331E-3</v>
      </c>
      <c r="F590">
        <f ca="1"/>
        <v>133.05667</v>
      </c>
      <c r="G590">
        <f t="shared" ca="1" si="39"/>
        <v>-2.0594630346182363E-4</v>
      </c>
      <c r="H590">
        <f t="shared" ca="1" si="38"/>
        <v>2.4642796367951567E-3</v>
      </c>
      <c r="I590">
        <f ca="1"/>
        <v>2.5899999999999999E-2</v>
      </c>
      <c r="J590">
        <f ca="1"/>
        <v>56.448599999999999</v>
      </c>
    </row>
    <row r="591" spans="1:10" x14ac:dyDescent="0.25">
      <c r="A591" t="str">
        <v>2019-02-28</v>
      </c>
      <c r="B591">
        <f t="shared" ca="1" si="36"/>
        <v>170.89662796243809</v>
      </c>
      <c r="C591">
        <f ca="1"/>
        <v>252.96899999999999</v>
      </c>
      <c r="D591">
        <f ca="1"/>
        <v>2.6800000000000001E-2</v>
      </c>
      <c r="E591">
        <f t="shared" ca="1" si="37"/>
        <v>2.2333333333333333E-3</v>
      </c>
      <c r="F591">
        <f ca="1"/>
        <v>133.72333</v>
      </c>
      <c r="G591">
        <f t="shared" ca="1" si="39"/>
        <v>2.0915778340284685E-3</v>
      </c>
      <c r="H591">
        <f t="shared" ca="1" si="38"/>
        <v>1.4175549930486473E-4</v>
      </c>
      <c r="I591">
        <f ca="1"/>
        <v>2.47E-2</v>
      </c>
      <c r="J591">
        <f ca="1"/>
        <v>56.622779999999999</v>
      </c>
    </row>
    <row r="592" spans="1:10" x14ac:dyDescent="0.25">
      <c r="A592" t="str">
        <v>2019-03-31</v>
      </c>
      <c r="B592">
        <f t="shared" ca="1" si="36"/>
        <v>170.95254907592849</v>
      </c>
      <c r="C592">
        <f ca="1"/>
        <v>254.14699999999999</v>
      </c>
      <c r="D592">
        <f ca="1"/>
        <v>2.5700000000000001E-2</v>
      </c>
      <c r="E592">
        <f t="shared" ca="1" si="37"/>
        <v>2.1416666666666667E-3</v>
      </c>
      <c r="F592">
        <f ca="1"/>
        <v>134.38999999999999</v>
      </c>
      <c r="G592">
        <f t="shared" ca="1" si="39"/>
        <v>4.6566970656483075E-3</v>
      </c>
      <c r="H592">
        <f t="shared" ca="1" si="38"/>
        <v>-2.5150303989816408E-3</v>
      </c>
      <c r="I592">
        <f ca="1"/>
        <v>2.6100000000000002E-2</v>
      </c>
      <c r="J592">
        <f ca="1"/>
        <v>58.070549999999997</v>
      </c>
    </row>
    <row r="593" spans="1:10" x14ac:dyDescent="0.25">
      <c r="A593" t="str">
        <v>2019-04-30</v>
      </c>
      <c r="B593">
        <f t="shared" ca="1" si="36"/>
        <v>170.53456537536329</v>
      </c>
      <c r="C593">
        <f ca="1"/>
        <v>255.32599999999999</v>
      </c>
      <c r="D593">
        <f ca="1"/>
        <v>2.53E-2</v>
      </c>
      <c r="E593">
        <f t="shared" ca="1" si="37"/>
        <v>2.1083333333333332E-3</v>
      </c>
      <c r="F593">
        <f ca="1"/>
        <v>134.68333000000001</v>
      </c>
      <c r="G593">
        <f t="shared" ca="1" si="39"/>
        <v>4.6390474803952308E-3</v>
      </c>
      <c r="H593">
        <f t="shared" ca="1" si="38"/>
        <v>-2.5307141470618977E-3</v>
      </c>
      <c r="I593">
        <f ca="1"/>
        <v>2.6100000000000002E-2</v>
      </c>
      <c r="J593">
        <f ca="1"/>
        <v>58.163269999999997</v>
      </c>
    </row>
    <row r="594" spans="1:10" x14ac:dyDescent="0.25">
      <c r="A594" t="str">
        <v>2019-05-31</v>
      </c>
      <c r="B594">
        <f t="shared" ca="1" si="36"/>
        <v>170.87587322354537</v>
      </c>
      <c r="C594">
        <f ca="1"/>
        <v>255.37100000000001</v>
      </c>
      <c r="D594">
        <f ca="1"/>
        <v>2.4E-2</v>
      </c>
      <c r="E594">
        <f t="shared" ca="1" si="37"/>
        <v>2E-3</v>
      </c>
      <c r="F594">
        <f ca="1"/>
        <v>134.97667000000001</v>
      </c>
      <c r="G594">
        <f t="shared" ca="1" si="39"/>
        <v>1.7624527075188468E-4</v>
      </c>
      <c r="H594">
        <f t="shared" ca="1" si="38"/>
        <v>1.8237547292481154E-3</v>
      </c>
      <c r="I594">
        <f ca="1"/>
        <v>2.8400000000000002E-2</v>
      </c>
      <c r="J594">
        <f ca="1"/>
        <v>58.437449999999998</v>
      </c>
    </row>
    <row r="595" spans="1:10" x14ac:dyDescent="0.25">
      <c r="A595" t="str">
        <v>2019-06-30</v>
      </c>
      <c r="B595">
        <f t="shared" ca="1" si="36"/>
        <v>171.21235585675527</v>
      </c>
      <c r="C595">
        <f ca="1"/>
        <v>255.423</v>
      </c>
      <c r="D595">
        <f ca="1"/>
        <v>2.06E-2</v>
      </c>
      <c r="E595">
        <f t="shared" ca="1" si="37"/>
        <v>1.7166666666666667E-3</v>
      </c>
      <c r="F595">
        <f ca="1"/>
        <v>135.27000000000001</v>
      </c>
      <c r="G595">
        <f t="shared" ca="1" si="39"/>
        <v>2.0362531375917037E-4</v>
      </c>
      <c r="H595">
        <f t="shared" ca="1" si="38"/>
        <v>1.5130413529074963E-3</v>
      </c>
      <c r="I595">
        <f ca="1"/>
        <v>3.09E-2</v>
      </c>
      <c r="J595">
        <f ca="1"/>
        <v>59.768430000000002</v>
      </c>
    </row>
    <row r="596" spans="1:10" x14ac:dyDescent="0.25">
      <c r="A596" t="str">
        <v>2019-07-31</v>
      </c>
      <c r="B596">
        <f t="shared" ca="1" si="36"/>
        <v>169.87857255055192</v>
      </c>
      <c r="C596">
        <f ca="1"/>
        <v>255.92500000000001</v>
      </c>
      <c r="D596">
        <f ca="1"/>
        <v>1.6299999999999999E-2</v>
      </c>
      <c r="E596">
        <f t="shared" ca="1" si="37"/>
        <v>1.3583333333333331E-3</v>
      </c>
      <c r="F596">
        <f ca="1"/>
        <v>134.47999999999999</v>
      </c>
      <c r="G596">
        <f t="shared" ca="1" si="39"/>
        <v>1.9653672535362432E-3</v>
      </c>
      <c r="H596">
        <f t="shared" ca="1" si="38"/>
        <v>-6.0703392020291006E-4</v>
      </c>
      <c r="I596">
        <f ca="1"/>
        <v>3.4700000000000002E-2</v>
      </c>
      <c r="J596">
        <f ca="1"/>
        <v>60.07403</v>
      </c>
    </row>
    <row r="597" spans="1:10" x14ac:dyDescent="0.25">
      <c r="A597" t="str">
        <v>2019-08-31</v>
      </c>
      <c r="B597">
        <f t="shared" ca="1" si="36"/>
        <v>168.75336286399238</v>
      </c>
      <c r="C597">
        <f ca="1"/>
        <v>256.11799999999999</v>
      </c>
      <c r="D597">
        <f ca="1"/>
        <v>1.6299999999999999E-2</v>
      </c>
      <c r="E597">
        <f t="shared" ca="1" si="37"/>
        <v>1.3583333333333331E-3</v>
      </c>
      <c r="F597">
        <f ca="1"/>
        <v>133.69</v>
      </c>
      <c r="G597">
        <f t="shared" ca="1" si="39"/>
        <v>7.5412718569878301E-4</v>
      </c>
      <c r="H597">
        <f t="shared" ca="1" si="38"/>
        <v>6.0420614763455013E-4</v>
      </c>
      <c r="I597">
        <f ca="1"/>
        <v>3.5999999999999997E-2</v>
      </c>
      <c r="J597">
        <f ca="1"/>
        <v>60.482399999999998</v>
      </c>
    </row>
    <row r="598" spans="1:10" x14ac:dyDescent="0.25">
      <c r="A598" t="str">
        <v>2019-09-30</v>
      </c>
      <c r="B598">
        <f t="shared" ca="1" si="36"/>
        <v>167.4854361249279</v>
      </c>
      <c r="C598">
        <f ca="1"/>
        <v>256.53199999999998</v>
      </c>
      <c r="D598">
        <f ca="1"/>
        <v>1.7000000000000001E-2</v>
      </c>
      <c r="E598">
        <f t="shared" ca="1" si="37"/>
        <v>1.4166666666666668E-3</v>
      </c>
      <c r="F598">
        <f ca="1"/>
        <v>132.9</v>
      </c>
      <c r="G598">
        <f t="shared" ca="1" si="39"/>
        <v>1.6164424210713957E-3</v>
      </c>
      <c r="H598">
        <f t="shared" ca="1" si="38"/>
        <v>-1.9977575440472892E-4</v>
      </c>
      <c r="I598">
        <f ca="1"/>
        <v>3.4700000000000002E-2</v>
      </c>
      <c r="J598">
        <f ca="1"/>
        <v>60.840049999999998</v>
      </c>
    </row>
    <row r="599" spans="1:10" x14ac:dyDescent="0.25">
      <c r="A599" t="str">
        <v>2019-10-31</v>
      </c>
      <c r="B599">
        <f t="shared" ca="1" si="36"/>
        <v>169.67982528255118</v>
      </c>
      <c r="C599">
        <f ca="1"/>
        <v>257.387</v>
      </c>
      <c r="D599">
        <f ca="1"/>
        <v>1.7100000000000001E-2</v>
      </c>
      <c r="E599">
        <f t="shared" ca="1" si="37"/>
        <v>1.4250000000000001E-3</v>
      </c>
      <c r="F599">
        <f ca="1"/>
        <v>135.09</v>
      </c>
      <c r="G599">
        <f t="shared" ca="1" si="39"/>
        <v>3.3329175307563741E-3</v>
      </c>
      <c r="H599">
        <f t="shared" ca="1" si="38"/>
        <v>-1.907917530756374E-3</v>
      </c>
      <c r="I599">
        <f ca="1"/>
        <v>3.5200000000000002E-2</v>
      </c>
      <c r="J599">
        <f ca="1"/>
        <v>61.061970000000002</v>
      </c>
    </row>
    <row r="600" spans="1:10" x14ac:dyDescent="0.25">
      <c r="A600" t="str">
        <v>2019-11-30</v>
      </c>
      <c r="B600">
        <f t="shared" ca="1" si="36"/>
        <v>172.02822011791201</v>
      </c>
      <c r="C600">
        <f ca="1"/>
        <v>257.98899999999998</v>
      </c>
      <c r="D600">
        <f ca="1"/>
        <v>1.8100000000000002E-2</v>
      </c>
      <c r="E600">
        <f t="shared" ca="1" si="37"/>
        <v>1.5083333333333335E-3</v>
      </c>
      <c r="F600">
        <f ca="1"/>
        <v>137.28</v>
      </c>
      <c r="G600">
        <f t="shared" ca="1" si="39"/>
        <v>2.3388904645533781E-3</v>
      </c>
      <c r="H600">
        <f t="shared" ca="1" si="38"/>
        <v>-8.3055713122004459E-4</v>
      </c>
      <c r="I600">
        <f ca="1"/>
        <v>3.2899999999999999E-2</v>
      </c>
      <c r="J600">
        <f ca="1"/>
        <v>61.45561</v>
      </c>
    </row>
    <row r="601" spans="1:10" x14ac:dyDescent="0.25">
      <c r="A601" t="str">
        <v>2019-12-31</v>
      </c>
      <c r="B601">
        <f t="shared" ca="1" si="36"/>
        <v>174.62769901976355</v>
      </c>
      <c r="C601">
        <f ca="1"/>
        <v>258.20299999999997</v>
      </c>
      <c r="D601">
        <f ca="1"/>
        <v>1.8599999999999998E-2</v>
      </c>
      <c r="E601">
        <f t="shared" ca="1" si="37"/>
        <v>1.5499999999999999E-3</v>
      </c>
      <c r="F601">
        <f ca="1"/>
        <v>139.47</v>
      </c>
      <c r="G601">
        <f t="shared" ca="1" si="39"/>
        <v>8.2949273031029946E-4</v>
      </c>
      <c r="H601">
        <f t="shared" ca="1" si="38"/>
        <v>7.2050726968970048E-4</v>
      </c>
      <c r="I601">
        <f ca="1"/>
        <v>3.1899999999999998E-2</v>
      </c>
      <c r="J601">
        <f ca="1"/>
        <v>64.737250000000003</v>
      </c>
    </row>
    <row r="602" spans="1:10" x14ac:dyDescent="0.25">
      <c r="A602" t="str">
        <v>2020-01-31</v>
      </c>
      <c r="B602">
        <f t="shared" ca="1" si="36"/>
        <v>164.66451318982379</v>
      </c>
      <c r="C602">
        <f ca="1"/>
        <v>258.68200000000002</v>
      </c>
      <c r="D602">
        <f ca="1"/>
        <v>1.7600000000000001E-2</v>
      </c>
      <c r="E602">
        <f t="shared" ca="1" si="37"/>
        <v>1.4666666666666667E-3</v>
      </c>
      <c r="F602">
        <f ca="1"/>
        <v>131.75667000000001</v>
      </c>
      <c r="G602">
        <f t="shared" ca="1" si="39"/>
        <v>1.8551294911370864E-3</v>
      </c>
      <c r="H602">
        <f t="shared" ca="1" si="38"/>
        <v>-3.8846282447041968E-4</v>
      </c>
      <c r="I602">
        <f ca="1"/>
        <v>3.2300000000000002E-2</v>
      </c>
      <c r="J602">
        <f ca="1"/>
        <v>64.981859999999998</v>
      </c>
    </row>
    <row r="603" spans="1:10" x14ac:dyDescent="0.25">
      <c r="A603" t="str">
        <v>2020-02-29</v>
      </c>
      <c r="B603">
        <f t="shared" ca="1" si="36"/>
        <v>154.83014821618718</v>
      </c>
      <c r="C603">
        <f ca="1"/>
        <v>259.00700000000001</v>
      </c>
      <c r="D603">
        <f ca="1"/>
        <v>1.4999999999999999E-2</v>
      </c>
      <c r="E603">
        <f t="shared" ca="1" si="37"/>
        <v>1.25E-3</v>
      </c>
      <c r="F603">
        <f ca="1"/>
        <v>124.04333</v>
      </c>
      <c r="G603">
        <f t="shared" ca="1" si="39"/>
        <v>1.2563688234974446E-3</v>
      </c>
      <c r="H603">
        <f t="shared" ca="1" si="38"/>
        <v>-6.3688234974445829E-6</v>
      </c>
      <c r="I603">
        <f ca="1"/>
        <v>3.5400000000000001E-2</v>
      </c>
      <c r="J603">
        <f ca="1"/>
        <v>65.297700000000006</v>
      </c>
    </row>
    <row r="604" spans="1:10" x14ac:dyDescent="0.25">
      <c r="A604" t="str">
        <v>2020-03-31</v>
      </c>
      <c r="B604">
        <f t="shared" ca="1" si="36"/>
        <v>145.67599027753567</v>
      </c>
      <c r="C604">
        <f ca="1"/>
        <v>258.16500000000002</v>
      </c>
      <c r="D604">
        <f ca="1"/>
        <v>8.6999999999999994E-3</v>
      </c>
      <c r="E604">
        <f t="shared" ca="1" si="37"/>
        <v>7.2499999999999995E-4</v>
      </c>
      <c r="F604">
        <f ca="1"/>
        <v>116.33</v>
      </c>
      <c r="G604">
        <f t="shared" ca="1" si="39"/>
        <v>-3.2508773894140974E-3</v>
      </c>
      <c r="H604">
        <f t="shared" ca="1" si="38"/>
        <v>3.9758773894140974E-3</v>
      </c>
      <c r="I604">
        <f ca="1"/>
        <v>4.8800000000000003E-2</v>
      </c>
      <c r="J604">
        <f ca="1"/>
        <v>67.838419999999999</v>
      </c>
    </row>
    <row r="605" spans="1:10" x14ac:dyDescent="0.25">
      <c r="A605" t="str">
        <v>2020-04-30</v>
      </c>
      <c r="B605">
        <f t="shared" ca="1" si="36"/>
        <v>139.65841968183557</v>
      </c>
      <c r="C605">
        <f ca="1"/>
        <v>256.09399999999999</v>
      </c>
      <c r="D605">
        <f ca="1"/>
        <v>6.6E-3</v>
      </c>
      <c r="E605">
        <f t="shared" ca="1" si="37"/>
        <v>5.5000000000000003E-4</v>
      </c>
      <c r="F605">
        <f ca="1"/>
        <v>110.63</v>
      </c>
      <c r="G605">
        <f t="shared" ca="1" si="39"/>
        <v>-8.0220014331920941E-3</v>
      </c>
      <c r="H605">
        <f t="shared" ca="1" si="38"/>
        <v>8.5720014331920943E-3</v>
      </c>
      <c r="I605">
        <f ca="1"/>
        <v>4.8300000000000003E-2</v>
      </c>
      <c r="J605">
        <f ca="1"/>
        <v>68.333079999999995</v>
      </c>
    </row>
    <row r="606" spans="1:10" x14ac:dyDescent="0.25">
      <c r="A606" t="str">
        <v>2020-05-31</v>
      </c>
      <c r="B606">
        <f t="shared" ca="1" si="36"/>
        <v>132.54041755227706</v>
      </c>
      <c r="C606">
        <f ca="1"/>
        <v>255.94399999999999</v>
      </c>
      <c r="D606">
        <f ca="1"/>
        <v>6.7000000000000002E-3</v>
      </c>
      <c r="E606">
        <f t="shared" ca="1" si="37"/>
        <v>5.5833333333333332E-4</v>
      </c>
      <c r="F606">
        <f ca="1"/>
        <v>104.93</v>
      </c>
      <c r="G606">
        <f t="shared" ca="1" si="39"/>
        <v>-5.857224300452879E-4</v>
      </c>
      <c r="H606">
        <f t="shared" ca="1" si="38"/>
        <v>1.1440557633786213E-3</v>
      </c>
      <c r="I606">
        <f ca="1"/>
        <v>4.6199999999999998E-2</v>
      </c>
      <c r="J606">
        <f ca="1"/>
        <v>68.369730000000004</v>
      </c>
    </row>
    <row r="607" spans="1:10" x14ac:dyDescent="0.25">
      <c r="A607" t="str">
        <v>2020-06-30</v>
      </c>
      <c r="B607">
        <f t="shared" ca="1" si="36"/>
        <v>124.72023983640273</v>
      </c>
      <c r="C607">
        <f ca="1"/>
        <v>257.21699999999998</v>
      </c>
      <c r="D607">
        <f ca="1"/>
        <v>7.3000000000000001E-3</v>
      </c>
      <c r="E607">
        <f t="shared" ca="1" si="37"/>
        <v>6.0833333333333334E-4</v>
      </c>
      <c r="F607">
        <f ca="1"/>
        <v>99.23</v>
      </c>
      <c r="G607">
        <f t="shared" ca="1" si="39"/>
        <v>4.9737442565560563E-3</v>
      </c>
      <c r="H607">
        <f t="shared" ca="1" si="38"/>
        <v>-4.3654109232227232E-3</v>
      </c>
      <c r="I607">
        <f ca="1"/>
        <v>4.4299999999999999E-2</v>
      </c>
      <c r="J607">
        <f ca="1"/>
        <v>68.219859999999997</v>
      </c>
    </row>
    <row r="608" spans="1:10" x14ac:dyDescent="0.25">
      <c r="A608" t="str">
        <v>2020-07-31</v>
      </c>
      <c r="B608">
        <f t="shared" ca="1" si="36"/>
        <v>123.65959839960858</v>
      </c>
      <c r="C608">
        <f ca="1"/>
        <v>258.54300000000001</v>
      </c>
      <c r="D608">
        <f ca="1"/>
        <v>6.1999999999999998E-3</v>
      </c>
      <c r="E608">
        <f t="shared" ca="1" si="37"/>
        <v>5.1666666666666668E-4</v>
      </c>
      <c r="F608">
        <f ca="1"/>
        <v>98.893330000000006</v>
      </c>
      <c r="G608">
        <f t="shared" ca="1" si="39"/>
        <v>5.1551802563594151E-3</v>
      </c>
      <c r="H608">
        <f t="shared" ca="1" si="38"/>
        <v>-4.6385135896927481E-3</v>
      </c>
      <c r="I608">
        <f ca="1"/>
        <v>4.4999999999999998E-2</v>
      </c>
      <c r="J608">
        <f ca="1"/>
        <v>67.561859999999996</v>
      </c>
    </row>
    <row r="609" spans="1:10" x14ac:dyDescent="0.25">
      <c r="A609" t="str">
        <v>2020-08-31</v>
      </c>
      <c r="B609">
        <f t="shared" ca="1" si="36"/>
        <v>122.74629941047077</v>
      </c>
      <c r="C609">
        <f ca="1"/>
        <v>259.58</v>
      </c>
      <c r="D609">
        <f ca="1"/>
        <v>6.4999999999999997E-3</v>
      </c>
      <c r="E609">
        <f t="shared" ca="1" si="37"/>
        <v>5.4166666666666664E-4</v>
      </c>
      <c r="F609">
        <f ca="1"/>
        <v>98.556669999999997</v>
      </c>
      <c r="G609">
        <f t="shared" ca="1" si="39"/>
        <v>4.0109382191741982E-3</v>
      </c>
      <c r="H609">
        <f t="shared" ca="1" si="38"/>
        <v>-3.4692715525075314E-3</v>
      </c>
      <c r="I609">
        <f ca="1"/>
        <v>4.3200000000000002E-2</v>
      </c>
      <c r="J609">
        <f ca="1"/>
        <v>67.035820000000001</v>
      </c>
    </row>
    <row r="610" spans="1:10" x14ac:dyDescent="0.25">
      <c r="A610" t="str">
        <v>2020-09-30</v>
      </c>
      <c r="B610">
        <f t="shared" ca="1" si="36"/>
        <v>122.04020915484838</v>
      </c>
      <c r="C610">
        <f ca="1"/>
        <v>260.19</v>
      </c>
      <c r="D610">
        <f ca="1"/>
        <v>6.7999999999999996E-3</v>
      </c>
      <c r="E610">
        <f t="shared" ca="1" si="37"/>
        <v>5.666666666666666E-4</v>
      </c>
      <c r="F610">
        <f ca="1"/>
        <v>98.22</v>
      </c>
      <c r="G610">
        <f t="shared" ca="1" si="39"/>
        <v>2.3499499191002027E-3</v>
      </c>
      <c r="H610">
        <f t="shared" ca="1" si="38"/>
        <v>-1.783283252433536E-3</v>
      </c>
      <c r="I610">
        <f ca="1"/>
        <v>4.3299999999999998E-2</v>
      </c>
      <c r="J610">
        <f ca="1"/>
        <v>67.279219999999995</v>
      </c>
    </row>
    <row r="611" spans="1:10" x14ac:dyDescent="0.25">
      <c r="A611" t="str">
        <v>2020-10-31</v>
      </c>
      <c r="B611">
        <f t="shared" ca="1" si="36"/>
        <v>120.27136223639535</v>
      </c>
      <c r="C611">
        <f ca="1"/>
        <v>260.35199999999998</v>
      </c>
      <c r="D611">
        <f ca="1"/>
        <v>7.9000000000000008E-3</v>
      </c>
      <c r="E611">
        <f t="shared" ca="1" si="37"/>
        <v>6.5833333333333336E-4</v>
      </c>
      <c r="F611">
        <f ca="1"/>
        <v>96.856669999999994</v>
      </c>
      <c r="G611">
        <f t="shared" ca="1" si="39"/>
        <v>6.2262193012796452E-4</v>
      </c>
      <c r="H611">
        <f t="shared" ca="1" si="38"/>
        <v>3.5711403205368844E-5</v>
      </c>
      <c r="I611">
        <f ca="1"/>
        <v>4.1700000000000001E-2</v>
      </c>
      <c r="J611">
        <f ca="1"/>
        <v>67.033749999999998</v>
      </c>
    </row>
    <row r="612" spans="1:10" x14ac:dyDescent="0.25">
      <c r="A612" t="str">
        <v>2020-11-30</v>
      </c>
      <c r="B612">
        <f t="shared" ca="1" si="36"/>
        <v>118.41061575028479</v>
      </c>
      <c r="C612">
        <f ca="1"/>
        <v>260.721</v>
      </c>
      <c r="D612">
        <f ca="1"/>
        <v>8.6999999999999994E-3</v>
      </c>
      <c r="E612">
        <f t="shared" ca="1" si="37"/>
        <v>7.2499999999999995E-4</v>
      </c>
      <c r="F612">
        <f ca="1"/>
        <v>95.49333</v>
      </c>
      <c r="G612">
        <f t="shared" ca="1" si="39"/>
        <v>1.4173119469027551E-3</v>
      </c>
      <c r="H612">
        <f t="shared" ca="1" si="38"/>
        <v>-6.9231194690275513E-4</v>
      </c>
      <c r="I612">
        <f ca="1"/>
        <v>3.9600000000000003E-2</v>
      </c>
      <c r="J612">
        <f ca="1"/>
        <v>66.857010000000002</v>
      </c>
    </row>
    <row r="613" spans="1:10" x14ac:dyDescent="0.25">
      <c r="A613" t="str">
        <v>2020-12-31</v>
      </c>
      <c r="B613">
        <f t="shared" ca="1" si="36"/>
        <v>116.34392282577112</v>
      </c>
      <c r="C613">
        <f ca="1"/>
        <v>261.56400000000002</v>
      </c>
      <c r="D613">
        <f ca="1"/>
        <v>9.2999999999999992E-3</v>
      </c>
      <c r="E613">
        <f t="shared" ca="1" si="37"/>
        <v>7.7499999999999997E-4</v>
      </c>
      <c r="F613">
        <f ca="1"/>
        <v>94.13</v>
      </c>
      <c r="G613">
        <f t="shared" ca="1" si="39"/>
        <v>3.2333413879204187E-3</v>
      </c>
      <c r="H613">
        <f t="shared" ca="1" si="38"/>
        <v>-2.4583413879204186E-3</v>
      </c>
      <c r="I613">
        <f ca="1"/>
        <v>3.7699999999999997E-2</v>
      </c>
      <c r="J613">
        <f ca="1"/>
        <v>66.252430000000004</v>
      </c>
    </row>
    <row r="614" spans="1:10" x14ac:dyDescent="0.25">
      <c r="A614" t="str">
        <v>2021-01-31</v>
      </c>
      <c r="B614">
        <f t="shared" ca="1" si="36"/>
        <v>129.84158016740912</v>
      </c>
      <c r="C614">
        <f ca="1"/>
        <v>262.64999999999998</v>
      </c>
      <c r="D614">
        <f ca="1"/>
        <v>1.0800000000000001E-2</v>
      </c>
      <c r="E614">
        <f t="shared" ca="1" si="37"/>
        <v>9.0000000000000008E-4</v>
      </c>
      <c r="F614">
        <f ca="1"/>
        <v>105.48667</v>
      </c>
      <c r="G614">
        <f t="shared" ca="1" si="39"/>
        <v>4.151947515713017E-3</v>
      </c>
      <c r="H614">
        <f t="shared" ca="1" si="38"/>
        <v>-3.2519475157130168E-3</v>
      </c>
      <c r="I614">
        <f ca="1"/>
        <v>3.5499999999999997E-2</v>
      </c>
      <c r="J614">
        <f ca="1"/>
        <v>65.728250000000003</v>
      </c>
    </row>
    <row r="615" spans="1:10" x14ac:dyDescent="0.25">
      <c r="A615" t="str">
        <v>2021-02-28</v>
      </c>
      <c r="B615">
        <f t="shared" ca="1" si="36"/>
        <v>143.28130618131681</v>
      </c>
      <c r="C615">
        <f ca="1"/>
        <v>263.63799999999998</v>
      </c>
      <c r="D615">
        <f ca="1"/>
        <v>1.26E-2</v>
      </c>
      <c r="E615">
        <f t="shared" ca="1" si="37"/>
        <v>1.0499999999999999E-3</v>
      </c>
      <c r="F615">
        <f ca="1"/>
        <v>116.84332999999999</v>
      </c>
      <c r="G615">
        <f t="shared" ca="1" si="39"/>
        <v>3.7616600038072878E-3</v>
      </c>
      <c r="H615">
        <f t="shared" ca="1" si="38"/>
        <v>-2.7116600038072881E-3</v>
      </c>
      <c r="I615">
        <f ca="1"/>
        <v>3.3300000000000003E-2</v>
      </c>
      <c r="J615">
        <f ca="1"/>
        <v>65.128159999999994</v>
      </c>
    </row>
    <row r="616" spans="1:10" x14ac:dyDescent="0.25">
      <c r="A616" t="str">
        <v>2021-03-31</v>
      </c>
      <c r="B616">
        <f t="shared" ca="1" si="36"/>
        <v>156.45041862642216</v>
      </c>
      <c r="C616">
        <f ca="1"/>
        <v>264.91399999999999</v>
      </c>
      <c r="D616">
        <f ca="1"/>
        <v>1.61E-2</v>
      </c>
      <c r="E616">
        <f t="shared" ca="1" si="37"/>
        <v>1.3416666666666666E-3</v>
      </c>
      <c r="F616">
        <f ca="1"/>
        <v>128.19999999999999</v>
      </c>
      <c r="G616">
        <f t="shared" ca="1" si="39"/>
        <v>4.8399699588070888E-3</v>
      </c>
      <c r="H616">
        <f t="shared" ca="1" si="38"/>
        <v>-3.4983032921404224E-3</v>
      </c>
      <c r="I616">
        <f ca="1"/>
        <v>2.9600000000000001E-2</v>
      </c>
      <c r="J616">
        <f ca="1"/>
        <v>66.298289999999994</v>
      </c>
    </row>
    <row r="617" spans="1:10" x14ac:dyDescent="0.25">
      <c r="A617" t="str">
        <v>2021-04-30</v>
      </c>
      <c r="B617">
        <f t="shared" ca="1" si="36"/>
        <v>167.76977136899538</v>
      </c>
      <c r="C617">
        <f ca="1"/>
        <v>266.67</v>
      </c>
      <c r="D617">
        <f ca="1"/>
        <v>1.6400000000000001E-2</v>
      </c>
      <c r="E617">
        <f t="shared" ca="1" si="37"/>
        <v>1.3666666666666669E-3</v>
      </c>
      <c r="F617">
        <f ca="1"/>
        <v>138.38667000000001</v>
      </c>
      <c r="G617">
        <f t="shared" ca="1" si="39"/>
        <v>6.628566251689394E-3</v>
      </c>
      <c r="H617">
        <f t="shared" ca="1" si="38"/>
        <v>-5.2618995850227269E-3</v>
      </c>
      <c r="I617">
        <f ca="1"/>
        <v>2.8199999999999999E-2</v>
      </c>
      <c r="J617">
        <f ca="1"/>
        <v>65.845939999999999</v>
      </c>
    </row>
    <row r="618" spans="1:10" x14ac:dyDescent="0.25">
      <c r="A618" t="str">
        <v>2021-05-31</v>
      </c>
      <c r="B618">
        <f t="shared" ca="1" si="36"/>
        <v>178.92901472571558</v>
      </c>
      <c r="C618">
        <f ca="1"/>
        <v>268.44400000000002</v>
      </c>
      <c r="D618">
        <f ca="1"/>
        <v>1.6199999999999999E-2</v>
      </c>
      <c r="E618">
        <f t="shared" ca="1" si="37"/>
        <v>1.3499999999999999E-3</v>
      </c>
      <c r="F618">
        <f ca="1"/>
        <v>148.57333</v>
      </c>
      <c r="G618">
        <f t="shared" ca="1" si="39"/>
        <v>6.6524168447894549E-3</v>
      </c>
      <c r="H618">
        <f t="shared" ca="1" si="38"/>
        <v>-5.3024168447894553E-3</v>
      </c>
      <c r="I618">
        <f ca="1"/>
        <v>2.8799999999999999E-2</v>
      </c>
      <c r="J618">
        <f ca="1"/>
        <v>65.409649999999999</v>
      </c>
    </row>
    <row r="619" spans="1:10" x14ac:dyDescent="0.25">
      <c r="A619" t="str">
        <v>2021-06-30</v>
      </c>
      <c r="B619">
        <f t="shared" ca="1" si="36"/>
        <v>189.70235386736348</v>
      </c>
      <c r="C619">
        <f ca="1"/>
        <v>270.55900000000003</v>
      </c>
      <c r="D619">
        <f ca="1"/>
        <v>1.52E-2</v>
      </c>
      <c r="E619">
        <f t="shared" ca="1" si="37"/>
        <v>1.2666666666666666E-3</v>
      </c>
      <c r="F619">
        <f ca="1"/>
        <v>158.76</v>
      </c>
      <c r="G619">
        <f t="shared" ca="1" si="39"/>
        <v>7.8787382098315373E-3</v>
      </c>
      <c r="H619">
        <f t="shared" ca="1" si="38"/>
        <v>-6.6120715431648705E-3</v>
      </c>
      <c r="I619">
        <f ca="1"/>
        <v>3.0800000000000001E-2</v>
      </c>
      <c r="J619">
        <f ca="1"/>
        <v>65.198170000000005</v>
      </c>
    </row>
    <row r="620" spans="1:10" x14ac:dyDescent="0.25">
      <c r="A620" t="str">
        <v>2021-07-31</v>
      </c>
      <c r="B620">
        <f t="shared" ca="1" si="36"/>
        <v>195.47144051813333</v>
      </c>
      <c r="C620">
        <f ca="1"/>
        <v>271.76400000000001</v>
      </c>
      <c r="D620">
        <f ca="1"/>
        <v>1.32E-2</v>
      </c>
      <c r="E620">
        <f t="shared" ca="1" si="37"/>
        <v>1.1000000000000001E-3</v>
      </c>
      <c r="F620">
        <f ca="1"/>
        <v>164.31666999999999</v>
      </c>
      <c r="G620">
        <f t="shared" ca="1" si="39"/>
        <v>4.4537420673493866E-3</v>
      </c>
      <c r="H620">
        <f t="shared" ca="1" si="38"/>
        <v>-3.3537420673493863E-3</v>
      </c>
      <c r="I620">
        <f ca="1"/>
        <v>3.2599999999999997E-2</v>
      </c>
      <c r="J620">
        <f ca="1"/>
        <v>65.405370000000005</v>
      </c>
    </row>
    <row r="621" spans="1:10" x14ac:dyDescent="0.25">
      <c r="A621" t="str">
        <v>2021-08-31</v>
      </c>
      <c r="B621">
        <f t="shared" ca="1" si="36"/>
        <v>201.26257459240665</v>
      </c>
      <c r="C621">
        <f ca="1"/>
        <v>272.87</v>
      </c>
      <c r="D621">
        <f ca="1"/>
        <v>1.2800000000000001E-2</v>
      </c>
      <c r="E621">
        <f t="shared" ca="1" si="37"/>
        <v>1.0666666666666667E-3</v>
      </c>
      <c r="F621">
        <f ca="1"/>
        <v>169.87333000000001</v>
      </c>
      <c r="G621">
        <f t="shared" ca="1" si="39"/>
        <v>4.0697075403659522E-3</v>
      </c>
      <c r="H621">
        <f t="shared" ca="1" si="38"/>
        <v>-3.0030408736992855E-3</v>
      </c>
      <c r="I621">
        <f ca="1"/>
        <v>3.2599999999999997E-2</v>
      </c>
      <c r="J621">
        <f ca="1"/>
        <v>65.788799999999995</v>
      </c>
    </row>
    <row r="622" spans="1:10" x14ac:dyDescent="0.25">
      <c r="A622" t="str">
        <v>2021-09-30</v>
      </c>
      <c r="B622">
        <f t="shared" ca="1" si="36"/>
        <v>206.96768260907643</v>
      </c>
      <c r="C622">
        <f ca="1"/>
        <v>274.02800000000002</v>
      </c>
      <c r="D622">
        <f ca="1"/>
        <v>1.37E-2</v>
      </c>
      <c r="E622">
        <f t="shared" ca="1" si="37"/>
        <v>1.1416666666666667E-3</v>
      </c>
      <c r="F622">
        <f ca="1"/>
        <v>175.43</v>
      </c>
      <c r="G622">
        <f t="shared" ca="1" si="39"/>
        <v>4.2437790889435778E-3</v>
      </c>
      <c r="H622">
        <f t="shared" ca="1" si="38"/>
        <v>-3.1021124222769111E-3</v>
      </c>
      <c r="I622">
        <f ca="1"/>
        <v>3.2000000000000001E-2</v>
      </c>
      <c r="J622">
        <f ca="1"/>
        <v>66.127470000000002</v>
      </c>
    </row>
    <row r="623" spans="1:10" x14ac:dyDescent="0.25">
      <c r="A623" t="str">
        <v>2021-10-31</v>
      </c>
      <c r="B623">
        <f t="shared" ca="1" si="36"/>
        <v>213.84612005554712</v>
      </c>
      <c r="C623">
        <f ca="1"/>
        <v>276.52199999999999</v>
      </c>
      <c r="D623">
        <f ca="1"/>
        <v>1.5800000000000002E-2</v>
      </c>
      <c r="E623">
        <f t="shared" ca="1" si="37"/>
        <v>1.3166666666666667E-3</v>
      </c>
      <c r="F623">
        <f ca="1"/>
        <v>182.91</v>
      </c>
      <c r="G623">
        <f t="shared" ca="1" si="39"/>
        <v>9.1012597252835281E-3</v>
      </c>
      <c r="H623">
        <f t="shared" ca="1" si="38"/>
        <v>-7.7845930586168616E-3</v>
      </c>
      <c r="I623">
        <f ca="1"/>
        <v>3.1300000000000001E-2</v>
      </c>
      <c r="J623">
        <f ca="1"/>
        <v>66.004159999999999</v>
      </c>
    </row>
    <row r="624" spans="1:10" x14ac:dyDescent="0.25">
      <c r="A624" t="str">
        <v>2021-11-30</v>
      </c>
      <c r="B624">
        <f t="shared" ca="1" si="36"/>
        <v>220.84300041978966</v>
      </c>
      <c r="C624">
        <f ca="1"/>
        <v>278.71100000000001</v>
      </c>
      <c r="D624">
        <f ca="1"/>
        <v>1.5599999999999999E-2</v>
      </c>
      <c r="E624">
        <f t="shared" ca="1" si="37"/>
        <v>1.2999999999999999E-3</v>
      </c>
      <c r="F624">
        <f ca="1"/>
        <v>190.39</v>
      </c>
      <c r="G624">
        <f t="shared" ca="1" si="39"/>
        <v>7.9161875004520876E-3</v>
      </c>
      <c r="H624">
        <f t="shared" ca="1" si="38"/>
        <v>-6.6161875004520877E-3</v>
      </c>
      <c r="I624">
        <f ca="1"/>
        <v>3.1099999999999999E-2</v>
      </c>
      <c r="J624">
        <f ca="1"/>
        <v>66.100930000000005</v>
      </c>
    </row>
    <row r="625" spans="1:10" x14ac:dyDescent="0.25">
      <c r="A625" t="str">
        <v>2021-12-31</v>
      </c>
      <c r="B625">
        <f t="shared" ca="1" si="36"/>
        <v>227.74136991031983</v>
      </c>
      <c r="C625">
        <f ca="1"/>
        <v>280.887</v>
      </c>
      <c r="D625">
        <f ca="1"/>
        <v>1.47E-2</v>
      </c>
      <c r="E625">
        <f t="shared" ca="1" si="37"/>
        <v>1.225E-3</v>
      </c>
      <c r="F625">
        <f ca="1"/>
        <v>197.87</v>
      </c>
      <c r="G625">
        <f t="shared" ca="1" si="39"/>
        <v>7.8073703585432863E-3</v>
      </c>
      <c r="H625">
        <f t="shared" ca="1" si="38"/>
        <v>-6.5823703585432859E-3</v>
      </c>
      <c r="I625">
        <f ca="1"/>
        <v>3.2800000000000003E-2</v>
      </c>
      <c r="J625">
        <f ca="1"/>
        <v>67.084130000000002</v>
      </c>
    </row>
    <row r="626" spans="1:10" x14ac:dyDescent="0.25">
      <c r="A626" t="str">
        <v>2022-01-31</v>
      </c>
      <c r="B626">
        <f t="shared" ca="1" si="36"/>
        <v>226.54449392340382</v>
      </c>
      <c r="C626">
        <f ca="1"/>
        <v>282.39</v>
      </c>
      <c r="D626">
        <f ca="1"/>
        <v>1.7600000000000001E-2</v>
      </c>
      <c r="E626">
        <f t="shared" ca="1" si="37"/>
        <v>1.4666666666666667E-3</v>
      </c>
      <c r="F626">
        <f ca="1"/>
        <v>197.88333</v>
      </c>
      <c r="G626">
        <f t="shared" ca="1" si="39"/>
        <v>5.3509062363155113E-3</v>
      </c>
      <c r="H626">
        <f t="shared" ca="1" si="38"/>
        <v>-3.8842395696488449E-3</v>
      </c>
      <c r="I626">
        <f ca="1"/>
        <v>3.1199999999999999E-2</v>
      </c>
      <c r="J626">
        <f ca="1"/>
        <v>67.101830000000007</v>
      </c>
    </row>
    <row r="627" spans="1:10" x14ac:dyDescent="0.25">
      <c r="A627" t="str">
        <v>2022-02-28</v>
      </c>
      <c r="B627">
        <f t="shared" ca="1" si="36"/>
        <v>224.85181907663377</v>
      </c>
      <c r="C627">
        <f ca="1"/>
        <v>284.53500000000003</v>
      </c>
      <c r="D627">
        <f ca="1"/>
        <v>1.9300000000000001E-2</v>
      </c>
      <c r="E627">
        <f t="shared" ca="1" si="37"/>
        <v>1.6083333333333334E-3</v>
      </c>
      <c r="F627">
        <f ca="1"/>
        <v>197.89667</v>
      </c>
      <c r="G627">
        <f t="shared" ca="1" si="39"/>
        <v>7.5958780410072535E-3</v>
      </c>
      <c r="H627">
        <f t="shared" ca="1" si="38"/>
        <v>-5.9875447076739204E-3</v>
      </c>
      <c r="I627">
        <f ca="1"/>
        <v>3.1300000000000001E-2</v>
      </c>
      <c r="J627">
        <f ca="1"/>
        <v>67.066720000000004</v>
      </c>
    </row>
    <row r="628" spans="1:10" x14ac:dyDescent="0.25">
      <c r="A628" t="str">
        <v>2022-03-31</v>
      </c>
      <c r="B628">
        <f t="shared" ca="1" si="36"/>
        <v>222.50688328760262</v>
      </c>
      <c r="C628">
        <f ca="1"/>
        <v>287.553</v>
      </c>
      <c r="D628">
        <f ca="1"/>
        <v>2.1299999999999999E-2</v>
      </c>
      <c r="E628">
        <f t="shared" ca="1" si="37"/>
        <v>1.7749999999999999E-3</v>
      </c>
      <c r="F628">
        <f ca="1"/>
        <v>197.91</v>
      </c>
      <c r="G628">
        <f t="shared" ca="1" si="39"/>
        <v>1.0606779482313256E-2</v>
      </c>
      <c r="H628">
        <f t="shared" ca="1" si="38"/>
        <v>-8.831779482313255E-3</v>
      </c>
      <c r="I628">
        <f ca="1"/>
        <v>3.0700000000000002E-2</v>
      </c>
      <c r="J628">
        <f ca="1"/>
        <v>67.780199999999994</v>
      </c>
    </row>
    <row r="629" spans="1:10" x14ac:dyDescent="0.25">
      <c r="A629" t="str">
        <v>2022-04-30</v>
      </c>
      <c r="B629">
        <f t="shared" ca="1" si="36"/>
        <v>219.46523171506834</v>
      </c>
      <c r="C629">
        <f ca="1"/>
        <v>288.76400000000001</v>
      </c>
      <c r="D629">
        <f ca="1"/>
        <v>2.75E-2</v>
      </c>
      <c r="E629">
        <f t="shared" ca="1" si="37"/>
        <v>2.2916666666666667E-3</v>
      </c>
      <c r="F629">
        <f ca="1"/>
        <v>196.02667</v>
      </c>
      <c r="G629">
        <f t="shared" ca="1" si="39"/>
        <v>4.2113975510602586E-3</v>
      </c>
      <c r="H629">
        <f t="shared" ca="1" si="38"/>
        <v>-1.9197308843935919E-3</v>
      </c>
      <c r="I629">
        <f ca="1"/>
        <v>2.5100000000000001E-2</v>
      </c>
      <c r="J629">
        <f ca="1"/>
        <v>68.147180000000006</v>
      </c>
    </row>
    <row r="630" spans="1:10" x14ac:dyDescent="0.25">
      <c r="A630" t="str">
        <v>2022-05-31</v>
      </c>
      <c r="B630">
        <f t="shared" ca="1" si="36"/>
        <v>215.42080834650721</v>
      </c>
      <c r="C630">
        <f ca="1"/>
        <v>291.35899999999998</v>
      </c>
      <c r="D630">
        <f ca="1"/>
        <v>2.9000000000000001E-2</v>
      </c>
      <c r="E630">
        <f t="shared" ca="1" si="37"/>
        <v>2.4166666666666668E-3</v>
      </c>
      <c r="F630">
        <f ca="1"/>
        <v>194.14332999999999</v>
      </c>
      <c r="G630">
        <f t="shared" ca="1" si="39"/>
        <v>8.9865772741752892E-3</v>
      </c>
      <c r="H630">
        <f t="shared" ca="1" si="38"/>
        <v>-6.5699106075086224E-3</v>
      </c>
      <c r="I630">
        <f ca="1"/>
        <v>2.7900000000000001E-2</v>
      </c>
      <c r="J630">
        <f ca="1"/>
        <v>68.139300000000006</v>
      </c>
    </row>
    <row r="631" spans="1:10" x14ac:dyDescent="0.25">
      <c r="A631" t="str">
        <v>2022-06-30</v>
      </c>
      <c r="B631">
        <f t="shared" ca="1" si="36"/>
        <v>210.70091682599084</v>
      </c>
      <c r="C631">
        <f ca="1"/>
        <v>294.99599999999998</v>
      </c>
      <c r="D631">
        <f ca="1"/>
        <v>3.1399999999999997E-2</v>
      </c>
      <c r="E631">
        <f t="shared" ca="1" si="37"/>
        <v>2.6166666666666664E-3</v>
      </c>
      <c r="F631">
        <f ca="1"/>
        <v>192.26</v>
      </c>
      <c r="G631">
        <f t="shared" ca="1" si="39"/>
        <v>1.2482881942895263E-2</v>
      </c>
      <c r="H631">
        <f t="shared" ca="1" si="38"/>
        <v>-9.8662152762285966E-3</v>
      </c>
      <c r="I631">
        <f ca="1"/>
        <v>2.8899999999999999E-2</v>
      </c>
      <c r="J631">
        <f ca="1"/>
        <v>68.01764</v>
      </c>
    </row>
    <row r="632" spans="1:10" x14ac:dyDescent="0.25">
      <c r="A632" t="str">
        <v>2022-07-31</v>
      </c>
      <c r="B632">
        <f t="shared" ca="1" si="36"/>
        <v>208.87687968563651</v>
      </c>
      <c r="C632">
        <f ca="1"/>
        <v>294.97699999999998</v>
      </c>
      <c r="D632">
        <f ca="1"/>
        <v>2.9000000000000001E-2</v>
      </c>
      <c r="E632">
        <f t="shared" ca="1" si="37"/>
        <v>2.4166666666666668E-3</v>
      </c>
      <c r="F632">
        <f ca="1"/>
        <v>190.58332999999999</v>
      </c>
      <c r="G632">
        <f t="shared" ca="1" si="39"/>
        <v>-6.4407652985098984E-5</v>
      </c>
      <c r="H632">
        <f t="shared" ca="1" si="38"/>
        <v>2.4810743196517658E-3</v>
      </c>
      <c r="I632">
        <f ca="1"/>
        <v>3.15E-2</v>
      </c>
      <c r="J632">
        <f ca="1"/>
        <v>68.485529999999997</v>
      </c>
    </row>
    <row r="633" spans="1:10" x14ac:dyDescent="0.25">
      <c r="A633" t="str">
        <v>2022-08-31</v>
      </c>
      <c r="B633">
        <f t="shared" ca="1" si="36"/>
        <v>206.87657304137068</v>
      </c>
      <c r="C633">
        <f ca="1"/>
        <v>295.209</v>
      </c>
      <c r="D633">
        <f ca="1"/>
        <v>2.9000000000000001E-2</v>
      </c>
      <c r="E633">
        <f t="shared" ca="1" si="37"/>
        <v>2.4166666666666668E-3</v>
      </c>
      <c r="F633">
        <f ca="1"/>
        <v>188.90666999999999</v>
      </c>
      <c r="G633">
        <f t="shared" ca="1" si="39"/>
        <v>7.8650199846097557E-4</v>
      </c>
      <c r="H633">
        <f t="shared" ca="1" si="38"/>
        <v>1.6301646682056912E-3</v>
      </c>
      <c r="I633">
        <f ca="1"/>
        <v>2.9000000000000001E-2</v>
      </c>
      <c r="J633">
        <f ca="1"/>
        <v>68.969819999999999</v>
      </c>
    </row>
    <row r="634" spans="1:10" x14ac:dyDescent="0.25">
      <c r="A634" t="str">
        <v>2022-09-30</v>
      </c>
      <c r="B634">
        <f t="shared" ca="1" si="36"/>
        <v>204.25716971326949</v>
      </c>
      <c r="C634">
        <f ca="1"/>
        <v>296.34100000000001</v>
      </c>
      <c r="D634">
        <f ca="1"/>
        <v>3.5200000000000002E-2</v>
      </c>
      <c r="E634">
        <f t="shared" ca="1" si="37"/>
        <v>2.9333333333333334E-3</v>
      </c>
      <c r="F634">
        <f ca="1"/>
        <v>187.23</v>
      </c>
      <c r="G634">
        <f t="shared" ca="1" si="39"/>
        <v>3.8345714392176156E-3</v>
      </c>
      <c r="H634">
        <f t="shared" ca="1" si="38"/>
        <v>-9.012381058842822E-4</v>
      </c>
      <c r="I634">
        <f ca="1"/>
        <v>2.5399999999999999E-2</v>
      </c>
      <c r="J634">
        <f ca="1"/>
        <v>69.527839999999998</v>
      </c>
    </row>
    <row r="635" spans="1:10" x14ac:dyDescent="0.25">
      <c r="A635" t="str">
        <v>2022-10-31</v>
      </c>
      <c r="B635">
        <f t="shared" ca="1" si="36"/>
        <v>197.97475671375767</v>
      </c>
      <c r="C635">
        <f ca="1"/>
        <v>297.863</v>
      </c>
      <c r="D635">
        <f ca="1"/>
        <v>3.9800000000000002E-2</v>
      </c>
      <c r="E635">
        <f t="shared" ca="1" si="37"/>
        <v>3.316666666666667E-3</v>
      </c>
      <c r="F635">
        <f ca="1"/>
        <v>182.40333000000001</v>
      </c>
      <c r="G635">
        <f t="shared" ca="1" si="39"/>
        <v>5.1359751097552753E-3</v>
      </c>
      <c r="H635">
        <f t="shared" ca="1" si="38"/>
        <v>-1.8193084430886083E-3</v>
      </c>
      <c r="I635">
        <f ca="1"/>
        <v>2.2800000000000001E-2</v>
      </c>
      <c r="J635">
        <f ca="1"/>
        <v>69.812950000000001</v>
      </c>
    </row>
    <row r="636" spans="1:10" x14ac:dyDescent="0.25">
      <c r="A636" t="str">
        <v>2022-11-30</v>
      </c>
      <c r="B636">
        <f t="shared" ca="1" si="36"/>
        <v>192.22944476765289</v>
      </c>
      <c r="C636">
        <f ca="1"/>
        <v>298.64800000000002</v>
      </c>
      <c r="D636">
        <f ca="1"/>
        <v>3.8899999999999997E-2</v>
      </c>
      <c r="E636">
        <f t="shared" ca="1" si="37"/>
        <v>3.2416666666666666E-3</v>
      </c>
      <c r="F636">
        <f ca="1"/>
        <v>177.57667000000001</v>
      </c>
      <c r="G636">
        <f t="shared" ca="1" si="39"/>
        <v>2.6354397827190734E-3</v>
      </c>
      <c r="H636">
        <f t="shared" ca="1" si="38"/>
        <v>6.0622688394759315E-4</v>
      </c>
      <c r="I636">
        <f ca="1"/>
        <v>2.24E-2</v>
      </c>
      <c r="J636">
        <f ca="1"/>
        <v>70.450119999999998</v>
      </c>
    </row>
    <row r="637" spans="1:10" x14ac:dyDescent="0.25">
      <c r="A637" t="str">
        <v>2022-12-31</v>
      </c>
      <c r="B637">
        <f t="shared" ca="1" si="36"/>
        <v>186.90186555426155</v>
      </c>
      <c r="C637">
        <f ca="1"/>
        <v>298.81200000000001</v>
      </c>
      <c r="D637">
        <f ca="1"/>
        <v>3.6200000000000003E-2</v>
      </c>
      <c r="E637">
        <f t="shared" ca="1" si="37"/>
        <v>3.0166666666666671E-3</v>
      </c>
      <c r="F637">
        <f ca="1"/>
        <v>172.75</v>
      </c>
      <c r="G637">
        <f t="shared" ca="1" si="39"/>
        <v>5.4914146419871024E-4</v>
      </c>
      <c r="H637">
        <f t="shared" ca="1" si="38"/>
        <v>2.4675252024679568E-3</v>
      </c>
      <c r="I637">
        <f ca="1"/>
        <v>2.5100000000000001E-2</v>
      </c>
      <c r="J637">
        <f ca="1"/>
        <v>72.183300000000003</v>
      </c>
    </row>
    <row r="638" spans="1:10" x14ac:dyDescent="0.25">
      <c r="A638" t="str">
        <v>2023-01-31</v>
      </c>
      <c r="B638">
        <f t="shared" ca="1" si="36"/>
        <v>186.74717562960964</v>
      </c>
      <c r="C638">
        <f ca="1"/>
        <v>300.45600000000002</v>
      </c>
      <c r="D638">
        <f ca="1"/>
        <v>3.5299999999999998E-2</v>
      </c>
      <c r="E638">
        <f t="shared" ca="1" si="37"/>
        <v>2.9416666666666666E-3</v>
      </c>
      <c r="F638">
        <f ca="1"/>
        <v>173.55667</v>
      </c>
      <c r="G638">
        <f t="shared" ca="1" si="39"/>
        <v>5.5017870768241384E-3</v>
      </c>
      <c r="H638">
        <f t="shared" ca="1" si="38"/>
        <v>-2.5601204101574717E-3</v>
      </c>
      <c r="I638">
        <f ca="1"/>
        <v>2.6499999999999999E-2</v>
      </c>
      <c r="J638">
        <f ca="1"/>
        <v>72.070880000000002</v>
      </c>
    </row>
    <row r="639" spans="1:10" x14ac:dyDescent="0.25">
      <c r="A639" t="str">
        <v>2023-02-28</v>
      </c>
      <c r="B639">
        <f t="shared" ca="1" si="36"/>
        <v>186.98037428860007</v>
      </c>
      <c r="C639">
        <f ca="1"/>
        <v>301.476</v>
      </c>
      <c r="D639">
        <f ca="1"/>
        <v>3.7499999999999999E-2</v>
      </c>
      <c r="E639">
        <f t="shared" ca="1" si="37"/>
        <v>3.1249999999999997E-3</v>
      </c>
      <c r="F639">
        <f ca="1"/>
        <v>174.36332999999999</v>
      </c>
      <c r="G639">
        <f t="shared" ca="1" si="39"/>
        <v>3.3948398434380245E-3</v>
      </c>
      <c r="H639">
        <f t="shared" ca="1" si="38"/>
        <v>-2.6983984343802473E-4</v>
      </c>
      <c r="I639">
        <f ca="1"/>
        <v>2.3300000000000001E-2</v>
      </c>
      <c r="J639">
        <f ca="1"/>
        <v>72.128389999999996</v>
      </c>
    </row>
    <row r="640" spans="1:10" x14ac:dyDescent="0.25">
      <c r="A640" t="str">
        <v>2023-03-31</v>
      </c>
      <c r="B640">
        <f t="shared" ca="1" si="36"/>
        <v>187.74141773553507</v>
      </c>
      <c r="C640">
        <f ca="1"/>
        <v>301.64299999999997</v>
      </c>
      <c r="D640">
        <f ca="1"/>
        <v>3.6600000000000001E-2</v>
      </c>
      <c r="E640">
        <f t="shared" ca="1" si="37"/>
        <v>3.0500000000000002E-3</v>
      </c>
      <c r="F640">
        <f ca="1"/>
        <v>175.17</v>
      </c>
      <c r="G640">
        <f t="shared" ca="1" si="39"/>
        <v>5.5394127559060813E-4</v>
      </c>
      <c r="H640">
        <f t="shared" ca="1" si="38"/>
        <v>2.4960587244093921E-3</v>
      </c>
      <c r="I640">
        <f ca="1"/>
        <v>2.5499999999999998E-2</v>
      </c>
      <c r="J640">
        <f ca="1"/>
        <v>72.663229999999999</v>
      </c>
    </row>
    <row r="641" spans="1:10" x14ac:dyDescent="0.25">
      <c r="A641" t="str">
        <v>2023-04-30</v>
      </c>
      <c r="B641">
        <f t="shared" ca="1" si="36"/>
        <v>189.06624675910822</v>
      </c>
      <c r="C641">
        <f ca="1"/>
        <v>302.858</v>
      </c>
      <c r="D641">
        <f ca="1"/>
        <v>3.4599999999999999E-2</v>
      </c>
      <c r="E641">
        <f t="shared" ca="1" si="37"/>
        <v>2.8833333333333332E-3</v>
      </c>
      <c r="F641">
        <f ca="1"/>
        <v>177.11667</v>
      </c>
      <c r="G641">
        <f t="shared" ca="1" si="39"/>
        <v>4.0279403135494718E-3</v>
      </c>
      <c r="H641">
        <f t="shared" ca="1" si="38"/>
        <v>-1.1446069802161386E-3</v>
      </c>
      <c r="I641">
        <f ca="1"/>
        <v>2.7099999999999999E-2</v>
      </c>
      <c r="J641">
        <f ca="1"/>
        <v>72.474130000000002</v>
      </c>
    </row>
    <row r="642" spans="1:10" x14ac:dyDescent="0.25">
      <c r="A642" t="str">
        <v>2023-05-31</v>
      </c>
      <c r="B642">
        <f t="shared" ref="B642:B680" ca="1" si="40">F642*$C$669/C642</f>
        <v>190.85561928493718</v>
      </c>
      <c r="C642">
        <f ca="1"/>
        <v>303.31599999999997</v>
      </c>
      <c r="D642">
        <f ca="1"/>
        <v>3.5700000000000003E-2</v>
      </c>
      <c r="E642">
        <f t="shared" ca="1" si="37"/>
        <v>2.9750000000000002E-3</v>
      </c>
      <c r="F642">
        <f ca="1"/>
        <v>179.06333000000001</v>
      </c>
      <c r="G642">
        <f t="shared" ca="1" si="39"/>
        <v>1.5122598709624846E-3</v>
      </c>
      <c r="H642">
        <f t="shared" ca="1" si="38"/>
        <v>1.4627401290375156E-3</v>
      </c>
      <c r="I642">
        <f ca="1"/>
        <v>2.6100000000000002E-2</v>
      </c>
      <c r="J642">
        <f ca="1"/>
        <v>72.468279999999993</v>
      </c>
    </row>
    <row r="643" spans="1:10" x14ac:dyDescent="0.25">
      <c r="A643" t="str">
        <v>2023-06-30</v>
      </c>
      <c r="B643">
        <f t="shared" ca="1" si="40"/>
        <v>192.43372687841787</v>
      </c>
      <c r="C643">
        <f ca="1"/>
        <v>304.09899999999999</v>
      </c>
      <c r="D643">
        <f ca="1"/>
        <v>3.7499999999999999E-2</v>
      </c>
      <c r="E643">
        <f t="shared" ref="E643:E681" ca="1" si="41">D643/12</f>
        <v>3.1249999999999997E-3</v>
      </c>
      <c r="F643">
        <f ca="1"/>
        <v>181.01</v>
      </c>
      <c r="G643">
        <f t="shared" ca="1" si="39"/>
        <v>2.5814661936727212E-3</v>
      </c>
      <c r="H643">
        <f t="shared" ref="H643:H669" ca="1" si="42">E643-G643</f>
        <v>5.4353380632727851E-4</v>
      </c>
      <c r="I643">
        <f ca="1"/>
        <v>2.3E-2</v>
      </c>
      <c r="J643">
        <f ca="1"/>
        <v>73.115549999999999</v>
      </c>
    </row>
    <row r="644" spans="1:10" x14ac:dyDescent="0.25">
      <c r="A644" t="str">
        <v>2023-07-31</v>
      </c>
      <c r="B644">
        <f t="shared" ca="1" si="40"/>
        <v>193.25397038885151</v>
      </c>
      <c r="C644">
        <f ca="1"/>
        <v>304.61500000000001</v>
      </c>
      <c r="D644">
        <f ca="1"/>
        <v>3.9E-2</v>
      </c>
      <c r="E644">
        <f t="shared" ca="1" si="41"/>
        <v>3.2499999999999999E-3</v>
      </c>
      <c r="F644">
        <f ca="1"/>
        <v>182.09</v>
      </c>
      <c r="G644">
        <f t="shared" ref="G644:G681" ca="1" si="43">C644/C643-1</f>
        <v>1.6968158395787025E-3</v>
      </c>
      <c r="H644">
        <f t="shared" ca="1" si="42"/>
        <v>1.5531841604212973E-3</v>
      </c>
      <c r="I644">
        <f ca="1"/>
        <v>2.06E-2</v>
      </c>
      <c r="J644">
        <f ca="1"/>
        <v>73.189880000000002</v>
      </c>
    </row>
    <row r="645" spans="1:10" x14ac:dyDescent="0.25">
      <c r="A645" t="str">
        <v>2023-08-31</v>
      </c>
      <c r="B645">
        <f t="shared" ca="1" si="40"/>
        <v>193.4330676688291</v>
      </c>
      <c r="C645">
        <f ca="1"/>
        <v>306.13799999999998</v>
      </c>
      <c r="D645">
        <f ca="1"/>
        <v>4.1700000000000001E-2</v>
      </c>
      <c r="E645">
        <f t="shared" ca="1" si="41"/>
        <v>3.4750000000000002E-3</v>
      </c>
      <c r="F645">
        <f ca="1"/>
        <v>183.17</v>
      </c>
      <c r="G645">
        <f t="shared" ca="1" si="43"/>
        <v>4.9997537875678955E-3</v>
      </c>
      <c r="H645">
        <f t="shared" ca="1" si="42"/>
        <v>-1.5247537875678952E-3</v>
      </c>
      <c r="I645">
        <f ca="1"/>
        <v>1.89E-2</v>
      </c>
      <c r="J645">
        <f ca="1"/>
        <v>73.084239999999994</v>
      </c>
    </row>
    <row r="646" spans="1:10" x14ac:dyDescent="0.25">
      <c r="A646" t="str">
        <v>2023-09-30</v>
      </c>
      <c r="B646">
        <f t="shared" ca="1" si="40"/>
        <v>193.79116890172884</v>
      </c>
      <c r="C646">
        <f ca="1"/>
        <v>307.37400000000002</v>
      </c>
      <c r="D646">
        <f ca="1"/>
        <v>4.3799999999999999E-2</v>
      </c>
      <c r="E646">
        <f t="shared" ca="1" si="41"/>
        <v>3.65E-3</v>
      </c>
      <c r="F646">
        <f ca="1"/>
        <v>184.25</v>
      </c>
      <c r="G646">
        <f t="shared" ca="1" si="43"/>
        <v>4.037394900339164E-3</v>
      </c>
      <c r="H646">
        <f t="shared" ca="1" si="42"/>
        <v>-3.8739490033916401E-4</v>
      </c>
      <c r="I646">
        <f ca="1"/>
        <v>1.7500000000000002E-2</v>
      </c>
      <c r="J646">
        <f ca="1"/>
        <v>73.28313</v>
      </c>
    </row>
    <row r="647" spans="1:10" x14ac:dyDescent="0.25">
      <c r="A647" t="str">
        <v>2023-10-31</v>
      </c>
      <c r="B647">
        <f t="shared" ca="1" si="40"/>
        <v>196.4806929266739</v>
      </c>
      <c r="C647">
        <f ca="1"/>
        <v>307.65300000000002</v>
      </c>
      <c r="D647">
        <f ca="1"/>
        <v>4.8000000000000001E-2</v>
      </c>
      <c r="E647">
        <f t="shared" ca="1" si="41"/>
        <v>4.0000000000000001E-3</v>
      </c>
      <c r="F647">
        <f ca="1"/>
        <v>186.97667000000001</v>
      </c>
      <c r="G647">
        <f t="shared" ca="1" si="43"/>
        <v>9.0768900427495858E-4</v>
      </c>
      <c r="H647">
        <f t="shared" ca="1" si="42"/>
        <v>3.0923109957250415E-3</v>
      </c>
      <c r="I647">
        <f ca="1"/>
        <v>1.47E-2</v>
      </c>
      <c r="J647">
        <f ca="1"/>
        <v>73.660470000000004</v>
      </c>
    </row>
    <row r="648" spans="1:10" x14ac:dyDescent="0.25">
      <c r="A648" t="str">
        <v>2023-11-30</v>
      </c>
      <c r="B648">
        <f t="shared" ca="1" si="40"/>
        <v>199.06513179403871</v>
      </c>
      <c r="C648">
        <f ca="1"/>
        <v>308.08699999999999</v>
      </c>
      <c r="D648">
        <f ca="1"/>
        <v>4.4999999999999998E-2</v>
      </c>
      <c r="E648">
        <f t="shared" ca="1" si="41"/>
        <v>3.7499999999999999E-3</v>
      </c>
      <c r="F648">
        <f ca="1"/>
        <v>189.70332999999999</v>
      </c>
      <c r="G648">
        <f t="shared" ca="1" si="43"/>
        <v>1.4106802143973862E-3</v>
      </c>
      <c r="H648">
        <f t="shared" ca="1" si="42"/>
        <v>2.3393197856026136E-3</v>
      </c>
      <c r="I648">
        <f ca="1"/>
        <v>1.6299999999999999E-2</v>
      </c>
      <c r="J648">
        <f ca="1"/>
        <v>74.159139999999994</v>
      </c>
    </row>
    <row r="649" spans="1:10" x14ac:dyDescent="0.25">
      <c r="A649" t="str">
        <v>2023-12-31</v>
      </c>
      <c r="B649">
        <f t="shared" ca="1" si="40"/>
        <v>201.50254143521144</v>
      </c>
      <c r="C649">
        <f ca="1"/>
        <v>308.73500000000001</v>
      </c>
      <c r="D649">
        <f ca="1"/>
        <v>4.02E-2</v>
      </c>
      <c r="E649">
        <f t="shared" ca="1" si="41"/>
        <v>3.3500000000000001E-3</v>
      </c>
      <c r="F649">
        <f ca="1"/>
        <v>192.43</v>
      </c>
      <c r="G649">
        <f t="shared" ca="1" si="43"/>
        <v>2.1033019893732519E-3</v>
      </c>
      <c r="H649">
        <f t="shared" ca="1" si="42"/>
        <v>1.2466980106267483E-3</v>
      </c>
      <c r="I649">
        <f ca="1"/>
        <v>1.95E-2</v>
      </c>
      <c r="J649">
        <f ca="1"/>
        <v>74.751050000000006</v>
      </c>
    </row>
    <row r="650" spans="1:10" x14ac:dyDescent="0.25">
      <c r="A650" t="str">
        <v>2024-01-31</v>
      </c>
      <c r="B650">
        <f t="shared" ca="1" si="40"/>
        <v>200.51408739814269</v>
      </c>
      <c r="C650">
        <f ca="1"/>
        <v>309.69799999999998</v>
      </c>
      <c r="D650">
        <f ca="1"/>
        <v>4.0599999999999997E-2</v>
      </c>
      <c r="E650">
        <f t="shared" ca="1" si="41"/>
        <v>3.3833333333333332E-3</v>
      </c>
      <c r="F650">
        <f ca="1"/>
        <v>192.08332999999999</v>
      </c>
      <c r="G650">
        <f t="shared" ca="1" si="43"/>
        <v>3.1191798791843084E-3</v>
      </c>
      <c r="H650">
        <f t="shared" ca="1" si="42"/>
        <v>2.6415345414902485E-4</v>
      </c>
      <c r="I650">
        <f ca="1"/>
        <v>1.8599999999999998E-2</v>
      </c>
      <c r="J650">
        <f ca="1"/>
        <v>74.529740000000004</v>
      </c>
    </row>
    <row r="651" spans="1:10" x14ac:dyDescent="0.25">
      <c r="A651" t="str">
        <v>2024-02-29</v>
      </c>
      <c r="B651">
        <f t="shared" ca="1" si="40"/>
        <v>199.33542717063224</v>
      </c>
      <c r="C651">
        <f ca="1"/>
        <v>310.96699999999998</v>
      </c>
      <c r="D651">
        <f ca="1"/>
        <v>4.2099999999999999E-2</v>
      </c>
      <c r="E651">
        <f t="shared" ca="1" si="41"/>
        <v>3.5083333333333334E-3</v>
      </c>
      <c r="F651">
        <f ca="1"/>
        <v>191.73667</v>
      </c>
      <c r="G651">
        <f t="shared" ca="1" si="43"/>
        <v>4.0975401843086345E-3</v>
      </c>
      <c r="H651">
        <f t="shared" ca="1" si="42"/>
        <v>-5.8920685097530118E-4</v>
      </c>
      <c r="I651">
        <f ca="1"/>
        <v>1.6500000000000001E-2</v>
      </c>
      <c r="J651">
        <f ca="1"/>
        <v>74.253839999999997</v>
      </c>
    </row>
    <row r="652" spans="1:10" x14ac:dyDescent="0.25">
      <c r="A652" t="str">
        <v>2024-03-31</v>
      </c>
      <c r="B652">
        <f t="shared" ca="1" si="40"/>
        <v>198.09718257055496</v>
      </c>
      <c r="C652">
        <f ca="1"/>
        <v>312.34500000000003</v>
      </c>
      <c r="D652">
        <f ca="1"/>
        <v>4.2099999999999999E-2</v>
      </c>
      <c r="E652">
        <f t="shared" ca="1" si="41"/>
        <v>3.5083333333333334E-3</v>
      </c>
      <c r="F652">
        <f ca="1"/>
        <v>191.39</v>
      </c>
      <c r="G652">
        <f t="shared" ca="1" si="43"/>
        <v>4.4313383735252732E-3</v>
      </c>
      <c r="H652">
        <f t="shared" ca="1" si="42"/>
        <v>-9.230050401919398E-4</v>
      </c>
      <c r="I652">
        <f ca="1"/>
        <v>1.5800000000000002E-2</v>
      </c>
      <c r="J652">
        <f ca="1"/>
        <v>75.993449999999996</v>
      </c>
    </row>
    <row r="653" spans="1:10" x14ac:dyDescent="0.25">
      <c r="A653" t="str">
        <v>2024-04-30</v>
      </c>
      <c r="B653">
        <f t="shared" ca="1" si="40"/>
        <v>199.51682585624698</v>
      </c>
      <c r="C653">
        <f ca="1"/>
        <v>313.02300000000002</v>
      </c>
      <c r="D653">
        <f ca="1"/>
        <v>4.5400000000000003E-2</v>
      </c>
      <c r="E653">
        <f t="shared" ca="1" si="41"/>
        <v>3.7833333333333334E-3</v>
      </c>
      <c r="F653">
        <f ca="1"/>
        <v>193.18</v>
      </c>
      <c r="G653">
        <f t="shared" ca="1" si="43"/>
        <v>2.1706766556210955E-3</v>
      </c>
      <c r="H653">
        <f t="shared" ca="1" si="42"/>
        <v>1.612656677712238E-3</v>
      </c>
      <c r="I653">
        <f ca="1"/>
        <v>1.3100000000000001E-2</v>
      </c>
      <c r="J653">
        <f ca="1"/>
        <v>76.108800000000002</v>
      </c>
    </row>
    <row r="654" spans="1:10" x14ac:dyDescent="0.25">
      <c r="A654" t="str">
        <v>2024-05-31</v>
      </c>
      <c r="B654">
        <f t="shared" ca="1" si="40"/>
        <v>201.2678095952742</v>
      </c>
      <c r="C654">
        <f ca="1"/>
        <v>313.17500000000001</v>
      </c>
      <c r="D654">
        <f ca="1"/>
        <v>4.48E-2</v>
      </c>
      <c r="E654">
        <f t="shared" ca="1" si="41"/>
        <v>3.7333333333333333E-3</v>
      </c>
      <c r="F654">
        <f ca="1"/>
        <v>194.97</v>
      </c>
      <c r="G654">
        <f t="shared" ca="1" si="43"/>
        <v>4.8558732105941083E-4</v>
      </c>
      <c r="H654">
        <f t="shared" ca="1" si="42"/>
        <v>3.2477460122739225E-3</v>
      </c>
      <c r="I654">
        <f ca="1"/>
        <v>1.2999999999999999E-2</v>
      </c>
      <c r="J654">
        <f ca="1"/>
        <v>76.391919999999999</v>
      </c>
    </row>
    <row r="655" spans="1:10" x14ac:dyDescent="0.25">
      <c r="A655" t="str">
        <v>2024-06-30</v>
      </c>
      <c r="B655">
        <f t="shared" ca="1" si="40"/>
        <v>203.20062726006569</v>
      </c>
      <c r="C655">
        <f ca="1"/>
        <v>313.04399999999998</v>
      </c>
      <c r="D655">
        <f ca="1"/>
        <v>4.3099999999999999E-2</v>
      </c>
      <c r="E655">
        <f t="shared" ca="1" si="41"/>
        <v>3.5916666666666666E-3</v>
      </c>
      <c r="F655">
        <f ca="1"/>
        <v>196.76</v>
      </c>
      <c r="G655">
        <f t="shared" ca="1" si="43"/>
        <v>-4.1829647960411886E-4</v>
      </c>
      <c r="H655">
        <f t="shared" ca="1" si="42"/>
        <v>4.0099631462707855E-3</v>
      </c>
      <c r="I655">
        <f ca="1"/>
        <v>1.3599999999999999E-2</v>
      </c>
      <c r="J655">
        <f ca="1"/>
        <v>76.305400000000006</v>
      </c>
    </row>
    <row r="656" spans="1:10" x14ac:dyDescent="0.25">
      <c r="A656" t="str">
        <v>2024-07-31</v>
      </c>
      <c r="B656">
        <f t="shared" ca="1" si="40"/>
        <v>204.0666890859747</v>
      </c>
      <c r="C656">
        <f ca="1"/>
        <v>313.56900000000002</v>
      </c>
      <c r="D656">
        <f ca="1"/>
        <v>4.2500000000000003E-2</v>
      </c>
      <c r="E656">
        <f t="shared" ca="1" si="41"/>
        <v>3.5416666666666669E-3</v>
      </c>
      <c r="F656">
        <f ca="1"/>
        <v>197.93</v>
      </c>
      <c r="G656">
        <f t="shared" ca="1" si="43"/>
        <v>1.6770805381991494E-3</v>
      </c>
      <c r="H656">
        <f t="shared" ca="1" si="42"/>
        <v>1.8645861284675175E-3</v>
      </c>
      <c r="I656">
        <f ca="1"/>
        <v>1.3899999999999999E-2</v>
      </c>
      <c r="J656">
        <f ca="1"/>
        <v>76.719560000000001</v>
      </c>
    </row>
    <row r="657" spans="1:10" x14ac:dyDescent="0.25">
      <c r="A657" t="str">
        <v>2024-08-31</v>
      </c>
      <c r="B657">
        <f t="shared" ca="1" si="40"/>
        <v>204.95073616037595</v>
      </c>
      <c r="C657">
        <f ca="1"/>
        <v>314.06200000000001</v>
      </c>
      <c r="D657">
        <f ca="1"/>
        <v>3.8699999999999998E-2</v>
      </c>
      <c r="E657">
        <f t="shared" ca="1" si="41"/>
        <v>3.225E-3</v>
      </c>
      <c r="F657">
        <f ca="1"/>
        <v>199.1</v>
      </c>
      <c r="G657">
        <f t="shared" ca="1" si="43"/>
        <v>1.5722217438585151E-3</v>
      </c>
      <c r="H657">
        <f t="shared" ca="1" si="42"/>
        <v>1.6527782561414849E-3</v>
      </c>
      <c r="I657">
        <f ca="1"/>
        <v>1.84E-2</v>
      </c>
      <c r="J657">
        <f ca="1"/>
        <v>77.159469999999999</v>
      </c>
    </row>
    <row r="658" spans="1:10" x14ac:dyDescent="0.25">
      <c r="A658" t="str">
        <v>2024-09-30</v>
      </c>
      <c r="B658">
        <f t="shared" ca="1" si="40"/>
        <v>205.71625563971887</v>
      </c>
      <c r="C658">
        <f ca="1"/>
        <v>314.73200000000003</v>
      </c>
      <c r="D658">
        <f ca="1"/>
        <v>3.7199999999999997E-2</v>
      </c>
      <c r="E658">
        <f t="shared" ca="1" si="41"/>
        <v>3.0999999999999999E-3</v>
      </c>
      <c r="F658">
        <f ca="1"/>
        <v>200.27</v>
      </c>
      <c r="G658">
        <f t="shared" ca="1" si="43"/>
        <v>2.1333367296902939E-3</v>
      </c>
      <c r="H658">
        <f t="shared" ca="1" si="42"/>
        <v>9.6666327030970603E-4</v>
      </c>
      <c r="I658">
        <f ca="1"/>
        <v>1.9400000000000001E-2</v>
      </c>
      <c r="J658">
        <f ca="1"/>
        <v>77.537379999999999</v>
      </c>
    </row>
    <row r="659" spans="1:10" x14ac:dyDescent="0.25">
      <c r="A659" t="str">
        <v>2024-10-31</v>
      </c>
      <c r="B659">
        <f t="shared" ca="1" si="40"/>
        <v>208.51040889519726</v>
      </c>
      <c r="C659">
        <f ca="1"/>
        <v>315.63099999999997</v>
      </c>
      <c r="D659">
        <f ca="1"/>
        <v>4.1000000000000002E-2</v>
      </c>
      <c r="E659">
        <f t="shared" ca="1" si="41"/>
        <v>3.4166666666666668E-3</v>
      </c>
      <c r="F659">
        <f ca="1"/>
        <v>203.57</v>
      </c>
      <c r="G659">
        <f t="shared" ca="1" si="43"/>
        <v>2.8563984596416958E-3</v>
      </c>
      <c r="H659">
        <f t="shared" ca="1" si="42"/>
        <v>5.60268207024971E-4</v>
      </c>
      <c r="I659">
        <f ca="1"/>
        <v>1.52E-2</v>
      </c>
      <c r="J659">
        <f ca="1"/>
        <v>77.95196</v>
      </c>
    </row>
    <row r="660" spans="1:10" x14ac:dyDescent="0.25">
      <c r="A660" t="str">
        <v>2024-11-30</v>
      </c>
      <c r="B660">
        <f t="shared" ca="1" si="40"/>
        <v>211.29002543218925</v>
      </c>
      <c r="C660">
        <f ca="1"/>
        <v>316.52800000000002</v>
      </c>
      <c r="D660">
        <f ca="1"/>
        <v>4.36E-2</v>
      </c>
      <c r="E660">
        <f t="shared" ca="1" si="41"/>
        <v>3.6333333333333335E-3</v>
      </c>
      <c r="F660">
        <f ca="1"/>
        <v>206.87</v>
      </c>
      <c r="G660">
        <f t="shared" ca="1" si="43"/>
        <v>2.8419261732848256E-3</v>
      </c>
      <c r="H660">
        <f t="shared" ca="1" si="42"/>
        <v>7.9140716004850791E-4</v>
      </c>
      <c r="I660">
        <f ca="1"/>
        <v>1.26E-2</v>
      </c>
      <c r="J660">
        <f ca="1"/>
        <v>78.498239999999996</v>
      </c>
    </row>
    <row r="661" spans="1:10" x14ac:dyDescent="0.25">
      <c r="A661" t="str">
        <v>2024-12-31</v>
      </c>
      <c r="B661">
        <f t="shared" ca="1" si="40"/>
        <v>213.93329262225919</v>
      </c>
      <c r="C661">
        <f ca="1"/>
        <v>317.60399999999998</v>
      </c>
      <c r="D661">
        <f ca="1"/>
        <v>4.3900000000000002E-2</v>
      </c>
      <c r="E661">
        <f t="shared" ca="1" si="41"/>
        <v>3.6583333333333333E-3</v>
      </c>
      <c r="F661">
        <f ca="1"/>
        <v>210.17</v>
      </c>
      <c r="G661">
        <f t="shared" ca="1" si="43"/>
        <v>3.399383308901438E-3</v>
      </c>
      <c r="H661">
        <f t="shared" ca="1" si="42"/>
        <v>2.5895002443189529E-4</v>
      </c>
      <c r="I661">
        <f ca="1"/>
        <v>1.26E-2</v>
      </c>
      <c r="J661">
        <f ca="1"/>
        <v>78.974220000000003</v>
      </c>
    </row>
    <row r="662" spans="1:10" x14ac:dyDescent="0.25">
      <c r="A662" t="str">
        <v>2025-01-31</v>
      </c>
      <c r="B662">
        <f t="shared" ca="1" si="40"/>
        <v>215.22596022407126</v>
      </c>
      <c r="C662">
        <f ca="1"/>
        <v>318.96100000000001</v>
      </c>
      <c r="D662">
        <f ca="1"/>
        <v>4.6300000000000001E-2</v>
      </c>
      <c r="E662">
        <f t="shared" ca="1" si="41"/>
        <v>3.8583333333333334E-3</v>
      </c>
      <c r="F662">
        <f ca="1"/>
        <v>212.34333000000001</v>
      </c>
      <c r="G662">
        <f t="shared" ca="1" si="43"/>
        <v>4.2726162139017365E-3</v>
      </c>
      <c r="H662">
        <f t="shared" ca="1" si="42"/>
        <v>-4.1428288056840311E-4</v>
      </c>
      <c r="I662">
        <f ca="1"/>
        <v>1.18E-2</v>
      </c>
      <c r="J662">
        <f ca="1"/>
        <v>78.919510000000002</v>
      </c>
    </row>
    <row r="663" spans="1:10" x14ac:dyDescent="0.25">
      <c r="A663" t="str">
        <v>2025-02-28</v>
      </c>
      <c r="B663">
        <f t="shared" ca="1" si="40"/>
        <v>216.94045827523863</v>
      </c>
      <c r="C663">
        <f ca="1"/>
        <v>319.67899999999997</v>
      </c>
      <c r="D663">
        <f ca="1"/>
        <v>4.4499999999999998E-2</v>
      </c>
      <c r="E663">
        <f t="shared" ca="1" si="41"/>
        <v>3.708333333333333E-3</v>
      </c>
      <c r="F663">
        <f ca="1"/>
        <v>214.51667</v>
      </c>
      <c r="G663">
        <f t="shared" ca="1" si="43"/>
        <v>2.2510589068882592E-3</v>
      </c>
      <c r="H663">
        <f t="shared" ca="1" si="42"/>
        <v>1.4572744264450739E-3</v>
      </c>
      <c r="I663">
        <f ca="1"/>
        <v>1.3599999999999999E-2</v>
      </c>
      <c r="J663">
        <f ca="1"/>
        <v>79.0274</v>
      </c>
    </row>
    <row r="664" spans="1:10" x14ac:dyDescent="0.25">
      <c r="A664" t="str">
        <v>2025-03-31</v>
      </c>
      <c r="B664">
        <f t="shared" ca="1" si="40"/>
        <v>219.06570598996197</v>
      </c>
      <c r="C664">
        <f ca="1"/>
        <v>319.78500000000003</v>
      </c>
      <c r="D664">
        <f ca="1"/>
        <v>4.2799999999999998E-2</v>
      </c>
      <c r="E664">
        <f t="shared" ca="1" si="41"/>
        <v>3.5666666666666663E-3</v>
      </c>
      <c r="F664">
        <f ca="1"/>
        <v>216.69</v>
      </c>
      <c r="G664">
        <f t="shared" ca="1" si="43"/>
        <v>3.315826188146076E-4</v>
      </c>
      <c r="H664">
        <f t="shared" ca="1" si="42"/>
        <v>3.2350840478520587E-3</v>
      </c>
      <c r="I664">
        <f ca="1"/>
        <v>1.67E-2</v>
      </c>
      <c r="J664">
        <f ca="1"/>
        <v>79.306070000000005</v>
      </c>
    </row>
    <row r="665" spans="1:10" x14ac:dyDescent="0.25">
      <c r="A665" t="str">
        <v>2025-04-30</v>
      </c>
      <c r="B665">
        <f t="shared" ca="1" si="40"/>
        <v>220.67694763370196</v>
      </c>
      <c r="C665">
        <f ca="1"/>
        <v>320.30200000000002</v>
      </c>
      <c r="D665">
        <f ca="1"/>
        <v>4.2799999999999998E-2</v>
      </c>
      <c r="E665">
        <f t="shared" ca="1" si="41"/>
        <v>3.5666666666666663E-3</v>
      </c>
      <c r="F665">
        <f ca="1"/>
        <v>218.63667000000001</v>
      </c>
      <c r="G665">
        <f t="shared" ca="1" si="43"/>
        <v>1.6167112278562268E-3</v>
      </c>
      <c r="H665">
        <f t="shared" ca="1" si="42"/>
        <v>1.9499554388104396E-3</v>
      </c>
      <c r="I665">
        <f ca="1"/>
        <v>1.8800000000000001E-2</v>
      </c>
      <c r="J665">
        <f ca="1"/>
        <v>79.476780000000005</v>
      </c>
    </row>
    <row r="666" spans="1:10" x14ac:dyDescent="0.25">
      <c r="A666" t="str">
        <v>2025-05-31</v>
      </c>
      <c r="B666">
        <f t="shared" ca="1" si="40"/>
        <v>222.42095109172851</v>
      </c>
      <c r="C666">
        <f ca="1"/>
        <v>320.62</v>
      </c>
      <c r="D666">
        <f ca="1"/>
        <v>4.4200000000000003E-2</v>
      </c>
      <c r="E666">
        <f t="shared" ca="1" si="41"/>
        <v>3.6833333333333336E-3</v>
      </c>
      <c r="F666">
        <f ca="1"/>
        <v>220.58332999999999</v>
      </c>
      <c r="G666">
        <f t="shared" ca="1" si="43"/>
        <v>9.9281303270037924E-4</v>
      </c>
      <c r="H666">
        <f t="shared" ca="1" si="42"/>
        <v>2.6905203006329544E-3</v>
      </c>
      <c r="I666">
        <f ca="1"/>
        <v>1.49E-2</v>
      </c>
      <c r="J666">
        <f ca="1"/>
        <v>79.727199999999996</v>
      </c>
    </row>
    <row r="667" spans="1:10" x14ac:dyDescent="0.25">
      <c r="A667" t="str">
        <v>2025-06-30</v>
      </c>
      <c r="B667">
        <f t="shared" ca="1" si="40"/>
        <v>223.81491197287167</v>
      </c>
      <c r="C667">
        <f ca="1"/>
        <v>321.435</v>
      </c>
      <c r="D667">
        <f ca="1"/>
        <v>4.3799999999999999E-2</v>
      </c>
      <c r="E667">
        <f t="shared" ca="1" si="41"/>
        <v>3.65E-3</v>
      </c>
      <c r="F667">
        <f ca="1"/>
        <v>222.53</v>
      </c>
      <c r="G667">
        <f t="shared" ca="1" si="43"/>
        <v>2.5419499719294691E-3</v>
      </c>
      <c r="H667">
        <f t="shared" ca="1" si="42"/>
        <v>1.1080500280705309E-3</v>
      </c>
      <c r="I667">
        <f ca="1"/>
        <v>1.4500000000000001E-2</v>
      </c>
      <c r="J667">
        <f ca="1"/>
        <v>79.870949999999993</v>
      </c>
    </row>
    <row r="668" spans="1:10" x14ac:dyDescent="0.25">
      <c r="A668" t="str">
        <v>2025-07-31</v>
      </c>
      <c r="B668">
        <f t="shared" ca="1" si="40"/>
        <v>227.559759225748</v>
      </c>
      <c r="C668">
        <f ca="1"/>
        <v>322.16899999999998</v>
      </c>
      <c r="D668">
        <f ca="1"/>
        <v>4.3900000000000002E-2</v>
      </c>
      <c r="E668">
        <f t="shared" ca="1" si="41"/>
        <v>3.6583333333333333E-3</v>
      </c>
      <c r="F668">
        <f ca="1"/>
        <v>226.77</v>
      </c>
      <c r="G668">
        <f t="shared" ca="1" si="43"/>
        <v>2.2835098853577485E-3</v>
      </c>
      <c r="H668">
        <f t="shared" ca="1" si="42"/>
        <v>1.3748234479755849E-3</v>
      </c>
      <c r="I668">
        <f ca="1"/>
        <v>1.35E-2</v>
      </c>
      <c r="J668">
        <f ca="1"/>
        <v>80.138900000000007</v>
      </c>
    </row>
    <row r="669" spans="1:10" x14ac:dyDescent="0.25">
      <c r="A669" t="str">
        <v>2025-08-31</v>
      </c>
      <c r="B669">
        <f t="shared" ca="1" si="40"/>
        <v>231.01</v>
      </c>
      <c r="C669">
        <f ca="1"/>
        <v>323.291</v>
      </c>
      <c r="D669">
        <f ca="1"/>
        <v>4.2599999999999999E-2</v>
      </c>
      <c r="E669">
        <f t="shared" ca="1" si="41"/>
        <v>3.5499999999999998E-3</v>
      </c>
      <c r="F669">
        <f ca="1"/>
        <v>231.01</v>
      </c>
      <c r="G669">
        <f t="shared" ca="1" si="43"/>
        <v>3.4826442022666271E-3</v>
      </c>
      <c r="H669">
        <f ca="1">E669-G669</f>
        <v>6.7355797733372694E-5</v>
      </c>
      <c r="I669">
        <f ca="1"/>
        <v>1.4999999999999999E-2</v>
      </c>
      <c r="J669">
        <f ca="1"/>
        <v>80.296599999999998</v>
      </c>
    </row>
    <row r="670" spans="1:10" x14ac:dyDescent="0.25">
      <c r="A670" t="str">
        <v>2025-09-30</v>
      </c>
      <c r="B670">
        <f t="shared" ca="1" si="40"/>
        <v>234.55784283489336</v>
      </c>
      <c r="C670">
        <f ca="1"/>
        <v>324.245</v>
      </c>
      <c r="D670">
        <f ca="1"/>
        <v>4.1200000000000001E-2</v>
      </c>
      <c r="E670">
        <f t="shared" ca="1" si="41"/>
        <v>3.4333333333333334E-3</v>
      </c>
      <c r="F670">
        <f ca="1"/>
        <v>235.25</v>
      </c>
      <c r="G670">
        <f t="shared" ca="1" si="43"/>
        <v>2.9509018191040681E-3</v>
      </c>
      <c r="H670">
        <f t="shared" ref="H670:H680" ca="1" si="44">E670-G670</f>
        <v>4.8243151422926525E-4</v>
      </c>
      <c r="I670">
        <f ca="1"/>
        <v>1.6299999999999999E-2</v>
      </c>
      <c r="J670">
        <f ca="1"/>
        <v>80.479150000000004</v>
      </c>
    </row>
    <row r="671" spans="1:10" x14ac:dyDescent="0.25">
      <c r="A671" t="str">
        <v>2025-10-31</v>
      </c>
      <c r="B671" t="e">
        <f t="shared" ca="1" si="40"/>
        <v>#VALUE!</v>
      </c>
      <c r="C671" t="str">
        <f ca="1"/>
        <v>ERR: NO DATA</v>
      </c>
      <c r="D671">
        <f ca="1"/>
        <v>4.0599999999999997E-2</v>
      </c>
      <c r="E671">
        <f t="shared" ca="1" si="41"/>
        <v>3.3833333333333332E-3</v>
      </c>
      <c r="F671">
        <f ca="1"/>
        <v>237.04467</v>
      </c>
      <c r="G671" t="e">
        <f t="shared" ca="1" si="43"/>
        <v>#VALUE!</v>
      </c>
      <c r="H671" t="e">
        <f t="shared" ca="1" si="44"/>
        <v>#VALUE!</v>
      </c>
      <c r="I671">
        <f ca="1"/>
        <v>1.67E-2</v>
      </c>
      <c r="J671">
        <f ca="1"/>
        <v>80.732240000000004</v>
      </c>
    </row>
    <row r="672" spans="1:10" x14ac:dyDescent="0.25">
      <c r="A672" t="str">
        <v>2025-11-30</v>
      </c>
      <c r="B672">
        <f t="shared" ca="1" si="40"/>
        <v>237.53735686629977</v>
      </c>
      <c r="C672">
        <f ca="1"/>
        <v>325.06299999999999</v>
      </c>
      <c r="D672">
        <f ca="1"/>
        <v>4.0899999999999999E-2</v>
      </c>
      <c r="E672">
        <f t="shared" ca="1" si="41"/>
        <v>3.4083333333333331E-3</v>
      </c>
      <c r="F672">
        <f ca="1"/>
        <v>238.83932999999999</v>
      </c>
      <c r="G672" t="e">
        <f t="shared" ca="1" si="43"/>
        <v>#VALUE!</v>
      </c>
      <c r="H672" t="e">
        <f t="shared" ca="1" si="44"/>
        <v>#VALUE!</v>
      </c>
      <c r="I672">
        <f ca="1"/>
        <v>1.6299999999999999E-2</v>
      </c>
      <c r="J672">
        <f ca="1"/>
        <v>81.359979999999993</v>
      </c>
    </row>
    <row r="673" spans="1:10" x14ac:dyDescent="0.25">
      <c r="A673" t="str">
        <v>2025-12-31</v>
      </c>
      <c r="B673">
        <f t="shared" ca="1" si="40"/>
        <v>238.61168568019602</v>
      </c>
      <c r="C673">
        <f ca="1"/>
        <v>326.03100000000001</v>
      </c>
      <c r="D673">
        <f ca="1"/>
        <v>4.1399999999999999E-2</v>
      </c>
      <c r="E673">
        <f t="shared" ca="1" si="41"/>
        <v>3.4499999999999999E-3</v>
      </c>
      <c r="F673">
        <f ca="1"/>
        <v>240.63399999999999</v>
      </c>
      <c r="G673">
        <f t="shared" ca="1" si="43"/>
        <v>2.9778842870460398E-3</v>
      </c>
      <c r="H673">
        <f t="shared" ca="1" si="44"/>
        <v>4.7211571295396014E-4</v>
      </c>
      <c r="I673">
        <f ca="1"/>
        <v>1.5900000000000001E-2</v>
      </c>
      <c r="J673">
        <f ca="1"/>
        <v>81.733369999999994</v>
      </c>
    </row>
    <row r="674" spans="1:10" x14ac:dyDescent="0.25">
      <c r="A674" t="str">
        <v>2026-01-31</v>
      </c>
      <c r="B674">
        <f t="shared" ca="1" si="40"/>
        <v>245.16343386153193</v>
      </c>
      <c r="C674">
        <f ca="1"/>
        <v>326.58800000000002</v>
      </c>
      <c r="D674">
        <f ca="1"/>
        <v>4.2099999999999999E-2</v>
      </c>
      <c r="E674">
        <f t="shared" ca="1" si="41"/>
        <v>3.5083333333333334E-3</v>
      </c>
      <c r="F674">
        <f ca="1"/>
        <v>247.66367</v>
      </c>
      <c r="G674">
        <f t="shared" ca="1" si="43"/>
        <v>1.70842649932057E-3</v>
      </c>
      <c r="H674">
        <f t="shared" ca="1" si="44"/>
        <v>1.7999068340127634E-3</v>
      </c>
      <c r="I674">
        <f ca="1"/>
        <v>1.5299999999999999E-2</v>
      </c>
      <c r="J674">
        <f ca="1"/>
        <v>81.720860000000002</v>
      </c>
    </row>
    <row r="675" spans="1:10" x14ac:dyDescent="0.25">
      <c r="A675" t="str">
        <v>2026-02-28</v>
      </c>
      <c r="B675">
        <f t="shared" ca="1" si="40"/>
        <v>251.45074619504675</v>
      </c>
      <c r="C675">
        <f ca="1"/>
        <v>327.45999999999998</v>
      </c>
      <c r="D675">
        <f ca="1"/>
        <v>4.1300000000000003E-2</v>
      </c>
      <c r="E675">
        <f t="shared" ca="1" si="41"/>
        <v>3.4416666666666671E-3</v>
      </c>
      <c r="F675">
        <f ca="1"/>
        <v>254.69333</v>
      </c>
      <c r="G675">
        <f t="shared" ca="1" si="43"/>
        <v>2.6700307420970404E-3</v>
      </c>
      <c r="H675">
        <f t="shared" ca="1" si="44"/>
        <v>7.716359245696267E-4</v>
      </c>
      <c r="I675">
        <f ca="1"/>
        <v>1.6899999999999998E-2</v>
      </c>
      <c r="J675">
        <f ca="1"/>
        <v>81.624690000000001</v>
      </c>
    </row>
    <row r="676" spans="1:10" x14ac:dyDescent="0.25">
      <c r="A676" t="str">
        <v>2026-03-31</v>
      </c>
      <c r="B676">
        <f t="shared" ca="1" si="40"/>
        <v>256.17464007108839</v>
      </c>
      <c r="C676">
        <f ca="1"/>
        <v>330.29300000000001</v>
      </c>
      <c r="D676">
        <f ca="1"/>
        <v>4.2500000000000003E-2</v>
      </c>
      <c r="E676">
        <f t="shared" ca="1" si="41"/>
        <v>3.5416666666666669E-3</v>
      </c>
      <c r="F676">
        <f ca="1"/>
        <v>261.72300000000001</v>
      </c>
      <c r="G676">
        <f t="shared" ca="1" si="43"/>
        <v>8.6514383436144815E-3</v>
      </c>
      <c r="H676">
        <f t="shared" ca="1" si="44"/>
        <v>-5.1097716769478146E-3</v>
      </c>
      <c r="I676">
        <f ca="1"/>
        <v>1.77E-2</v>
      </c>
      <c r="J676">
        <f ca="1"/>
        <v>81.061530000000005</v>
      </c>
    </row>
    <row r="677" spans="1:10" x14ac:dyDescent="0.25">
      <c r="A677" t="str">
        <v>2026-04-30</v>
      </c>
      <c r="C677">
        <f ca="1"/>
        <v>332.40699999999998</v>
      </c>
      <c r="D677">
        <f ca="1"/>
        <v>4.3200000000000002E-2</v>
      </c>
      <c r="E677">
        <f t="shared" ca="1" si="41"/>
        <v>3.6000000000000003E-3</v>
      </c>
      <c r="G677">
        <f t="shared" ca="1" si="43"/>
        <v>6.4003778463364025E-3</v>
      </c>
      <c r="H677">
        <f t="shared" ca="1" si="44"/>
        <v>-2.8003778463364022E-3</v>
      </c>
      <c r="I677">
        <f ca="1"/>
        <v>1.66E-2</v>
      </c>
      <c r="J677">
        <f ca="1"/>
        <v>80.599710000000002</v>
      </c>
    </row>
    <row r="678" spans="1:10" x14ac:dyDescent="0.25">
      <c r="A678" t="str">
        <v>2026-05-31</v>
      </c>
      <c r="C678">
        <f ca="1"/>
        <v>333.97899999999998</v>
      </c>
      <c r="D678">
        <f ca="1"/>
        <v>4.48E-2</v>
      </c>
      <c r="E678">
        <f t="shared" ca="1" si="41"/>
        <v>3.7333333333333333E-3</v>
      </c>
      <c r="G678">
        <f t="shared" ca="1" si="43"/>
        <v>4.7291422864139676E-3</v>
      </c>
      <c r="H678">
        <f t="shared" ca="1" si="44"/>
        <v>-9.9580895308063432E-4</v>
      </c>
      <c r="I678">
        <f ca="1"/>
        <v>1.3899999999999999E-2</v>
      </c>
      <c r="J678">
        <f ca="1"/>
        <v>80.313969999999998</v>
      </c>
    </row>
    <row r="679" spans="1:10" x14ac:dyDescent="0.25">
      <c r="A679" t="str">
        <v>2026-06-30</v>
      </c>
      <c r="C679">
        <f ca="1"/>
        <v>332.56799999999998</v>
      </c>
      <c r="D679">
        <f ca="1"/>
        <v>4.4699999999999997E-2</v>
      </c>
      <c r="E679">
        <f t="shared" ca="1" si="41"/>
        <v>3.7249999999999996E-3</v>
      </c>
      <c r="G679">
        <f t="shared" ca="1" si="43"/>
        <v>-4.2248165303806484E-3</v>
      </c>
      <c r="H679">
        <f t="shared" ca="1" si="44"/>
        <v>7.9498165303806476E-3</v>
      </c>
      <c r="I679">
        <f ca="1"/>
        <v>1.3100000000000001E-2</v>
      </c>
      <c r="J679">
        <f ca="1"/>
        <v>80.816400000000002</v>
      </c>
    </row>
    <row r="680" spans="1:10" x14ac:dyDescent="0.25">
      <c r="A680" t="str">
        <v>2026-07-31</v>
      </c>
      <c r="C680">
        <f ca="1"/>
        <v>332.81299999999999</v>
      </c>
      <c r="D680">
        <f ca="1"/>
        <v>4.5999999999999999E-2</v>
      </c>
      <c r="E680">
        <f t="shared" ca="1" si="41"/>
        <v>3.8333333333333331E-3</v>
      </c>
      <c r="G680">
        <f t="shared" ca="1" si="43"/>
        <v>7.3669144355448246E-4</v>
      </c>
      <c r="H680">
        <f t="shared" ca="1" si="44"/>
        <v>3.0966418897788507E-3</v>
      </c>
      <c r="I680">
        <f ca="1"/>
        <v>1.18E-2</v>
      </c>
    </row>
    <row r="681" spans="1:10" x14ac:dyDescent="0.25">
      <c r="A681" t="str">
        <v>2026-08-31</v>
      </c>
      <c r="D681">
        <f ca="1"/>
        <v>4.7500000000000001E-2</v>
      </c>
      <c r="E681">
        <f t="shared" ca="1" si="41"/>
        <v>3.9583333333333337E-3</v>
      </c>
      <c r="I681">
        <f ca="1"/>
        <v>9.7000000000000003E-3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ecy</vt:lpstr>
      <vt:lpstr>cape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VanLandingham</cp:lastModifiedBy>
  <dcterms:created xsi:type="dcterms:W3CDTF">2025-09-24T14:07:04Z</dcterms:created>
  <dcterms:modified xsi:type="dcterms:W3CDTF">2026-08-12T14:18:19Z</dcterms:modified>
</cp:coreProperties>
</file>